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作战地图主表" sheetId="2" state="visible" r:id="rId2"/>
    <sheet xmlns:r="http://schemas.openxmlformats.org/officeDocument/2006/relationships" name="风险调整公式表" sheetId="3" state="visible" r:id="rId3"/>
    <sheet xmlns:r="http://schemas.openxmlformats.org/officeDocument/2006/relationships" name="破坏变量监测" sheetId="4" state="visible" r:id="rId4"/>
    <sheet xmlns:r="http://schemas.openxmlformats.org/officeDocument/2006/relationships" name="极简时间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Microsoft YaHei"/>
      <b val="1"/>
      <color rgb="00f8fafc"/>
      <sz val="28"/>
    </font>
    <font>
      <name val="Microsoft YaHei"/>
      <color rgb="0094a3b8"/>
      <sz val="12"/>
    </font>
    <font>
      <name val="Microsoft YaHei"/>
      <color rgb="0064748b"/>
      <sz val="10"/>
    </font>
    <font>
      <name val="Microsoft YaHei"/>
      <b val="1"/>
      <color rgb="004ade80"/>
      <sz val="16"/>
    </font>
    <font>
      <name val="Microsoft YaHei"/>
      <b val="1"/>
      <color rgb="00f8fafc"/>
      <sz val="16"/>
    </font>
    <font>
      <name val="Microsoft YaHei"/>
      <b val="1"/>
      <color rgb="004ade80"/>
      <sz val="14"/>
    </font>
    <font>
      <name val="Microsoft YaHei"/>
      <color rgb="00e2e8f0"/>
      <sz val="11"/>
    </font>
    <font>
      <name val="Microsoft YaHei"/>
      <b val="1"/>
      <color rgb="004ade80"/>
      <sz val="11"/>
    </font>
    <font>
      <name val="Microsoft YaHei"/>
      <b val="1"/>
      <color rgb="00facc15"/>
      <sz val="14"/>
    </font>
    <font>
      <name val="Microsoft YaHei"/>
      <b val="1"/>
      <color rgb="00facc15"/>
      <sz val="11"/>
    </font>
    <font>
      <name val="Microsoft YaHei"/>
      <b val="1"/>
      <color rgb="00fb923c"/>
      <sz val="14"/>
    </font>
    <font>
      <name val="Microsoft YaHei"/>
      <b val="1"/>
      <color rgb="00fb923c"/>
      <sz val="11"/>
    </font>
    <font>
      <name val="Microsoft YaHei"/>
      <b val="1"/>
      <color rgb="00ef4444"/>
      <sz val="14"/>
    </font>
    <font>
      <name val="Microsoft YaHei"/>
      <b val="1"/>
      <color rgb="00ef4444"/>
      <sz val="11"/>
    </font>
    <font>
      <name val="Microsoft YaHei"/>
      <b val="1"/>
      <color rgb="00f8fafc"/>
      <sz val="18"/>
    </font>
    <font>
      <name val="Microsoft YaHei"/>
      <color rgb="0094a3b8"/>
      <sz val="10"/>
    </font>
    <font>
      <name val="Microsoft YaHei"/>
      <b val="1"/>
      <color rgb="00e2e8f0"/>
      <sz val="11"/>
    </font>
    <font>
      <name val="Microsoft YaHei"/>
      <b val="1"/>
      <color rgb="000a0e1a"/>
      <sz val="10"/>
    </font>
    <font>
      <name val="Microsoft YaHei"/>
      <color rgb="00e2e8f0"/>
      <sz val="10"/>
    </font>
    <font>
      <name val="Microsoft YaHei"/>
      <b val="1"/>
      <color rgb="004ade80"/>
      <sz val="10"/>
    </font>
    <font>
      <name val="Microsoft YaHei"/>
      <b val="1"/>
      <color rgb="00facc15"/>
      <sz val="10"/>
    </font>
    <font>
      <name val="Microsoft YaHei"/>
      <b val="1"/>
      <color rgb="00fb923c"/>
      <sz val="10"/>
    </font>
    <font>
      <name val="Microsoft YaHei"/>
      <b val="1"/>
      <color rgb="00ef4444"/>
      <sz val="10"/>
    </font>
    <font>
      <name val="Microsoft YaHei"/>
      <b val="1"/>
      <color rgb="00ef4444"/>
      <sz val="16"/>
    </font>
    <font>
      <name val="Microsoft YaHei"/>
      <b val="1"/>
      <color rgb="00f87171"/>
      <sz val="10"/>
    </font>
    <font>
      <name val="Microsoft YaHei"/>
      <b val="1"/>
      <color rgb="000a0e1a"/>
      <sz val="11"/>
    </font>
  </fonts>
  <fills count="18">
    <fill>
      <patternFill/>
    </fill>
    <fill>
      <patternFill patternType="gray125"/>
    </fill>
    <fill>
      <patternFill patternType="solid">
        <fgColor rgb="000a0e1a"/>
        <bgColor rgb="000a0e1a"/>
      </patternFill>
    </fill>
    <fill>
      <patternFill patternType="solid">
        <fgColor rgb="00111827"/>
        <bgColor rgb="00111827"/>
      </patternFill>
    </fill>
    <fill>
      <patternFill patternType="solid">
        <fgColor rgb="007f1d1d"/>
        <bgColor rgb="007f1d1d"/>
      </patternFill>
    </fill>
    <fill>
      <patternFill patternType="solid">
        <fgColor rgb="001a2236"/>
        <bgColor rgb="001a2236"/>
      </patternFill>
    </fill>
    <fill>
      <patternFill patternType="solid">
        <fgColor rgb="004ade80"/>
        <bgColor rgb="004ade80"/>
      </patternFill>
    </fill>
    <fill>
      <patternFill patternType="solid">
        <fgColor rgb="000f172a"/>
        <bgColor rgb="000f172a"/>
      </patternFill>
    </fill>
    <fill>
      <patternFill patternType="solid">
        <fgColor rgb="4ade8030"/>
        <bgColor rgb="4ade8030"/>
      </patternFill>
    </fill>
    <fill>
      <patternFill patternType="solid">
        <fgColor rgb="00064e3b"/>
        <bgColor rgb="00064e3b"/>
      </patternFill>
    </fill>
    <fill>
      <patternFill patternType="solid">
        <fgColor rgb="facc1530"/>
        <bgColor rgb="facc1530"/>
      </patternFill>
    </fill>
    <fill>
      <patternFill patternType="solid">
        <fgColor rgb="00facc15"/>
        <bgColor rgb="00facc15"/>
      </patternFill>
    </fill>
    <fill>
      <patternFill patternType="solid">
        <fgColor rgb="00713f12"/>
        <bgColor rgb="00713f12"/>
      </patternFill>
    </fill>
    <fill>
      <patternFill patternType="solid">
        <fgColor rgb="00fb923c"/>
        <bgColor rgb="00fb923c"/>
      </patternFill>
    </fill>
    <fill>
      <patternFill patternType="solid">
        <fgColor rgb="007c2d12"/>
        <bgColor rgb="007c2d12"/>
      </patternFill>
    </fill>
    <fill>
      <patternFill patternType="solid">
        <fgColor rgb="fb923c30"/>
        <bgColor rgb="fb923c30"/>
      </patternFill>
    </fill>
    <fill>
      <patternFill patternType="solid">
        <fgColor rgb="00ef4444"/>
        <bgColor rgb="00ef4444"/>
      </patternFill>
    </fill>
    <fill>
      <patternFill patternType="solid">
        <fgColor rgb="00d4af37"/>
        <bgColor rgb="00d4af37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center" vertical="center"/>
    </xf>
    <xf numFmtId="0" fontId="26" fillId="16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2" t="inlineStr">
        <is>
          <t>金转油阶段 · 建仓日历作战地图</t>
        </is>
      </c>
      <c r="N3" s="1" t="n"/>
    </row>
    <row r="4">
      <c r="A4" s="1" t="n"/>
      <c r="N4" s="1" t="n"/>
    </row>
    <row r="5">
      <c r="A5" s="1" t="n"/>
      <c r="N5" s="1" t="n"/>
    </row>
    <row r="6">
      <c r="A6" s="1" t="n"/>
      <c r="N6" s="1" t="n"/>
    </row>
    <row r="7">
      <c r="A7" s="1" t="n"/>
      <c r="N7" s="1" t="n"/>
    </row>
    <row r="8">
      <c r="A8" s="1" t="n"/>
      <c r="N8" s="1" t="n"/>
    </row>
    <row r="9">
      <c r="A9" s="1" t="n"/>
      <c r="B9" s="3" t="inlineStr">
        <is>
          <t>中国大陆投资人可执行版 | 仅使用A股/国内ETF/期权/AU9999/国债渠道</t>
        </is>
      </c>
      <c r="N9" s="1" t="n"/>
    </row>
    <row r="10">
      <c r="A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4" t="inlineStr">
        <is>
          <t>◉ Brent油价</t>
        </is>
      </c>
      <c r="D12" s="4" t="inlineStr">
        <is>
          <t>◈ 铜价</t>
        </is>
      </c>
      <c r="F12" s="4" t="inlineStr">
        <is>
          <t>◈ 铝价</t>
        </is>
      </c>
      <c r="H12" s="4" t="inlineStr">
        <is>
          <t>◆ 金价</t>
        </is>
      </c>
      <c r="J12" s="4" t="inlineStr">
        <is>
          <t>◆ 金油比(GOR)</t>
        </is>
      </c>
      <c r="L12" s="1" t="n"/>
      <c r="M12" s="1" t="n"/>
      <c r="N12" s="1" t="n"/>
    </row>
    <row r="13">
      <c r="A13" s="1" t="n"/>
      <c r="B13" s="5" t="inlineStr">
        <is>
          <t>$90.12</t>
        </is>
      </c>
      <c r="D13" s="5" t="inlineStr">
        <is>
          <t>$6.47</t>
        </is>
      </c>
      <c r="F13" s="5" t="inlineStr">
        <is>
          <t>$3,364</t>
        </is>
      </c>
      <c r="H13" s="5" t="inlineStr">
        <is>
          <t>$3,976</t>
        </is>
      </c>
      <c r="J13" s="5" t="inlineStr">
        <is>
          <t>49.14</t>
        </is>
      </c>
      <c r="L13" s="1" t="n"/>
      <c r="M13" s="1" t="n"/>
      <c r="N13" s="1" t="n"/>
    </row>
    <row r="14">
      <c r="A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6" t="inlineStr">
        <is>
          <t>五大作战节点</t>
        </is>
      </c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7" t="inlineStr">
        <is>
          <t>7月</t>
        </is>
      </c>
      <c r="D18" s="8" t="inlineStr">
        <is>
          <t>第一波温和抬升启动</t>
        </is>
      </c>
      <c r="H18" s="9" t="inlineStr">
        <is>
          <t>低风险</t>
        </is>
      </c>
      <c r="J18" s="8" t="inlineStr">
        <is>
          <t>建仓20%</t>
        </is>
      </c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0" t="inlineStr">
        <is>
          <t>8月</t>
        </is>
      </c>
      <c r="D20" s="8" t="inlineStr">
        <is>
          <t>缓慢加仓</t>
        </is>
      </c>
      <c r="H20" s="11" t="inlineStr">
        <is>
          <t>中风险</t>
        </is>
      </c>
      <c r="J20" s="8" t="inlineStr">
        <is>
          <t>加仓至30%</t>
        </is>
      </c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2" t="inlineStr">
        <is>
          <t>9月</t>
        </is>
      </c>
      <c r="D22" s="8" t="inlineStr">
        <is>
          <t>冲刺满仓</t>
        </is>
      </c>
      <c r="H22" s="13" t="inlineStr">
        <is>
          <t>高风险</t>
        </is>
      </c>
      <c r="J22" s="8" t="inlineStr">
        <is>
          <t>加满至40%</t>
        </is>
      </c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4" t="inlineStr">
        <is>
          <t>10-11月</t>
        </is>
      </c>
      <c r="D24" s="8" t="inlineStr">
        <is>
          <t>回调补仓（最佳窗口）</t>
        </is>
      </c>
      <c r="H24" s="15" t="inlineStr">
        <is>
          <t>极高风险</t>
        </is>
      </c>
      <c r="J24" s="8" t="inlineStr">
        <is>
          <t>回调补仓</t>
        </is>
      </c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0" t="inlineStr">
        <is>
          <t>12月</t>
        </is>
      </c>
      <c r="D26" s="8" t="inlineStr">
        <is>
          <t>放水主升</t>
        </is>
      </c>
      <c r="H26" s="11" t="inlineStr">
        <is>
          <t>中风险</t>
        </is>
      </c>
      <c r="J26" s="8" t="inlineStr">
        <is>
          <t>满仓持有</t>
        </is>
      </c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6" t="inlineStr">
        <is>
          <t>纪律红线：单标的不超15% | 止损触发立即减半 | 保留10%现金应对突发 | 现金≥50%</t>
        </is>
      </c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</sheetData>
  <mergeCells count="34">
    <mergeCell ref="D18:G18"/>
    <mergeCell ref="B13:C14"/>
    <mergeCell ref="J22:M22"/>
    <mergeCell ref="H20:I20"/>
    <mergeCell ref="D24:G24"/>
    <mergeCell ref="B22:C22"/>
    <mergeCell ref="B18:C18"/>
    <mergeCell ref="F13:G14"/>
    <mergeCell ref="J18:M18"/>
    <mergeCell ref="H13:I14"/>
    <mergeCell ref="B12:C12"/>
    <mergeCell ref="F12:G12"/>
    <mergeCell ref="D26:G26"/>
    <mergeCell ref="D20:G20"/>
    <mergeCell ref="B30:M30"/>
    <mergeCell ref="D22:G22"/>
    <mergeCell ref="J24:M24"/>
    <mergeCell ref="H22:I22"/>
    <mergeCell ref="B3:M8"/>
    <mergeCell ref="J13:K14"/>
    <mergeCell ref="D12:E12"/>
    <mergeCell ref="B16:M16"/>
    <mergeCell ref="H12:I12"/>
    <mergeCell ref="B24:C24"/>
    <mergeCell ref="J12:K12"/>
    <mergeCell ref="J26:M26"/>
    <mergeCell ref="H24:I24"/>
    <mergeCell ref="B20:C20"/>
    <mergeCell ref="H26:I26"/>
    <mergeCell ref="H18:I18"/>
    <mergeCell ref="J20:M20"/>
    <mergeCell ref="B26:C26"/>
    <mergeCell ref="B9:M10"/>
    <mergeCell ref="D13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de80"/>
    <outlinePr summaryBelow="1" summaryRight="1"/>
    <pageSetUpPr/>
  </sheetPr>
  <dimension ref="A1:L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0" customWidth="1" min="4" max="4"/>
    <col width="12" customWidth="1" min="5" max="5"/>
    <col width="18" customWidth="1" min="6" max="6"/>
    <col width="14" customWidth="1" min="7" max="7"/>
    <col width="14" customWidth="1" min="8" max="8"/>
    <col width="30" customWidth="1" min="9" max="9"/>
    <col width="8" customWidth="1" min="10" max="10"/>
    <col width="12" customWidth="1" min="11" max="11"/>
    <col width="14" customWidth="1" min="12" max="12"/>
  </cols>
  <sheetData>
    <row r="1" ht="36" customHeight="1">
      <c r="A1" s="17" t="inlineStr">
        <is>
          <t>金转油作战地图 — 国内可投渠道配置明细</t>
        </is>
      </c>
    </row>
    <row r="2">
      <c r="A2" s="18" t="inlineStr">
        <is>
          <t>仅使用A股/国内ETF/期权/AU9999/国债 | 节点配色: 7月=绿 8月=黄 9月=橙 10-11月=红 12月=金</t>
        </is>
      </c>
    </row>
    <row r="4" ht="28" customHeight="1">
      <c r="A4" s="19" t="inlineStr">
        <is>
          <t>节点</t>
        </is>
      </c>
      <c r="B4" s="19" t="inlineStr">
        <is>
          <t>代码</t>
        </is>
      </c>
      <c r="C4" s="19" t="inlineStr">
        <is>
          <t>名称</t>
        </is>
      </c>
      <c r="D4" s="19" t="inlineStr">
        <is>
          <t>类别</t>
        </is>
      </c>
      <c r="E4" s="19" t="inlineStr">
        <is>
          <t>动作</t>
        </is>
      </c>
      <c r="F4" s="19" t="inlineStr">
        <is>
          <t>仓位权重</t>
        </is>
      </c>
      <c r="G4" s="19" t="inlineStr">
        <is>
          <t>止损线</t>
        </is>
      </c>
      <c r="H4" s="19" t="inlineStr">
        <is>
          <t>标签</t>
        </is>
      </c>
      <c r="I4" s="19" t="inlineStr">
        <is>
          <t>投资逻辑</t>
        </is>
      </c>
      <c r="J4" s="19" t="inlineStr">
        <is>
          <t>当前价</t>
        </is>
      </c>
      <c r="K4" s="19" t="inlineStr">
        <is>
          <t>建议买点</t>
        </is>
      </c>
      <c r="L4" s="19" t="inlineStr">
        <is>
          <t>风险等级</t>
        </is>
      </c>
    </row>
    <row r="5" ht="32" customHeight="1">
      <c r="A5" s="20" t="inlineStr">
        <is>
          <t>7月</t>
        </is>
      </c>
      <c r="B5" s="21" t="inlineStr">
        <is>
          <t>600938</t>
        </is>
      </c>
      <c r="C5" s="21" t="inlineStr">
        <is>
          <t>中国海油</t>
        </is>
      </c>
      <c r="D5" s="21" t="inlineStr">
        <is>
          <t>原油</t>
        </is>
      </c>
      <c r="E5" s="21" t="inlineStr">
        <is>
          <t>建仓20%</t>
        </is>
      </c>
      <c r="F5" s="21" t="inlineStr">
        <is>
          <t>8%</t>
        </is>
      </c>
      <c r="G5" s="21" t="inlineStr">
        <is>
          <t>Brent&lt;85</t>
        </is>
      </c>
      <c r="H5" s="22" t="inlineStr">
        <is>
          <t>核心</t>
        </is>
      </c>
      <c r="I5" s="21" t="inlineStr">
        <is>
          <t>三桶油最纯油气标的，高股息+成长</t>
        </is>
      </c>
      <c r="J5" s="21" t="n">
        <v>28.5</v>
      </c>
      <c r="K5" s="21" t="inlineStr">
        <is>
          <t>27.00</t>
        </is>
      </c>
      <c r="L5" s="23" t="inlineStr">
        <is>
          <t>低</t>
        </is>
      </c>
    </row>
    <row r="6" ht="32" customHeight="1">
      <c r="A6" s="20" t="inlineStr">
        <is>
          <t>7月</t>
        </is>
      </c>
      <c r="B6" s="24" t="inlineStr">
        <is>
          <t>601225</t>
        </is>
      </c>
      <c r="C6" s="24" t="inlineStr">
        <is>
          <t>陕西煤业</t>
        </is>
      </c>
      <c r="D6" s="24" t="inlineStr">
        <is>
          <t>煤炭</t>
        </is>
      </c>
      <c r="E6" s="24" t="inlineStr">
        <is>
          <t>建仓15%</t>
        </is>
      </c>
      <c r="F6" s="24" t="inlineStr">
        <is>
          <t>5%</t>
        </is>
      </c>
      <c r="G6" s="24" t="inlineStr">
        <is>
          <t>Brent&lt;85</t>
        </is>
      </c>
      <c r="H6" s="22" t="inlineStr">
        <is>
          <t>核心</t>
        </is>
      </c>
      <c r="I6" s="24" t="inlineStr">
        <is>
          <t>煤炭龙头，能源安全基座</t>
        </is>
      </c>
      <c r="J6" s="24" t="n">
        <v>22.3</v>
      </c>
      <c r="K6" s="24" t="inlineStr">
        <is>
          <t>21.00</t>
        </is>
      </c>
      <c r="L6" s="23" t="inlineStr">
        <is>
          <t>低</t>
        </is>
      </c>
    </row>
    <row r="7" ht="32" customHeight="1">
      <c r="A7" s="20" t="inlineStr">
        <is>
          <t>7月</t>
        </is>
      </c>
      <c r="B7" s="21" t="inlineStr">
        <is>
          <t>518880</t>
        </is>
      </c>
      <c r="C7" s="21" t="inlineStr">
        <is>
          <t>华安黄金ETF</t>
        </is>
      </c>
      <c r="D7" s="21" t="inlineStr">
        <is>
          <t>黄金ETF</t>
        </is>
      </c>
      <c r="E7" s="21" t="inlineStr">
        <is>
          <t>建仓10%</t>
        </is>
      </c>
      <c r="F7" s="21" t="inlineStr">
        <is>
          <t>5%</t>
        </is>
      </c>
      <c r="G7" s="21" t="inlineStr">
        <is>
          <t>AU&lt;3800</t>
        </is>
      </c>
      <c r="H7" s="22" t="inlineStr">
        <is>
          <t>核心</t>
        </is>
      </c>
      <c r="I7" s="21" t="inlineStr">
        <is>
          <t>T+0场内，流动性最好</t>
        </is>
      </c>
      <c r="J7" s="21" t="n">
        <v>4.85</v>
      </c>
      <c r="K7" s="21" t="inlineStr">
        <is>
          <t>4.60</t>
        </is>
      </c>
      <c r="L7" s="23" t="inlineStr">
        <is>
          <t>低</t>
        </is>
      </c>
    </row>
    <row r="8" ht="32" customHeight="1">
      <c r="A8" s="20" t="inlineStr">
        <is>
          <t>7月</t>
        </is>
      </c>
      <c r="B8" s="24" t="inlineStr">
        <is>
          <t>601899</t>
        </is>
      </c>
      <c r="C8" s="24" t="inlineStr">
        <is>
          <t>紫金矿业</t>
        </is>
      </c>
      <c r="D8" s="24" t="inlineStr">
        <is>
          <t>铜金</t>
        </is>
      </c>
      <c r="E8" s="24" t="inlineStr">
        <is>
          <t>建仓10%</t>
        </is>
      </c>
      <c r="F8" s="24" t="inlineStr">
        <is>
          <t>4%</t>
        </is>
      </c>
      <c r="G8" s="24" t="inlineStr">
        <is>
          <t>铜&lt;6.0</t>
        </is>
      </c>
      <c r="H8" s="22" t="inlineStr">
        <is>
          <t>核心</t>
        </is>
      </c>
      <c r="I8" s="24" t="inlineStr">
        <is>
          <t>铜金双轮驱动</t>
        </is>
      </c>
      <c r="J8" s="24" t="n">
        <v>18.2</v>
      </c>
      <c r="K8" s="24" t="inlineStr">
        <is>
          <t>17.00</t>
        </is>
      </c>
      <c r="L8" s="23" t="inlineStr">
        <is>
          <t>低</t>
        </is>
      </c>
    </row>
    <row r="9" ht="32" customHeight="1">
      <c r="A9" s="20" t="inlineStr">
        <is>
          <t>7月</t>
        </is>
      </c>
      <c r="B9" s="21" t="inlineStr">
        <is>
          <t>600362</t>
        </is>
      </c>
      <c r="C9" s="21" t="inlineStr">
        <is>
          <t>江西铜业</t>
        </is>
      </c>
      <c r="D9" s="21" t="inlineStr">
        <is>
          <t>铜</t>
        </is>
      </c>
      <c r="E9" s="21" t="inlineStr">
        <is>
          <t>建仓10%</t>
        </is>
      </c>
      <c r="F9" s="21" t="inlineStr">
        <is>
          <t>3%</t>
        </is>
      </c>
      <c r="G9" s="21" t="inlineStr">
        <is>
          <t>铜&lt;6.0</t>
        </is>
      </c>
      <c r="H9" s="22" t="inlineStr">
        <is>
          <t>核心</t>
        </is>
      </c>
      <c r="I9" s="21" t="inlineStr">
        <is>
          <t>铜冶炼龙头</t>
        </is>
      </c>
      <c r="J9" s="21" t="n">
        <v>22.5</v>
      </c>
      <c r="K9" s="21" t="inlineStr">
        <is>
          <t>21.00</t>
        </is>
      </c>
      <c r="L9" s="23" t="inlineStr">
        <is>
          <t>低</t>
        </is>
      </c>
    </row>
    <row r="10" ht="32" customHeight="1">
      <c r="A10" s="20" t="inlineStr">
        <is>
          <t>7月</t>
        </is>
      </c>
      <c r="B10" s="24" t="inlineStr">
        <is>
          <t>601600</t>
        </is>
      </c>
      <c r="C10" s="24" t="inlineStr">
        <is>
          <t>中国铝业</t>
        </is>
      </c>
      <c r="D10" s="24" t="inlineStr">
        <is>
          <t>铝</t>
        </is>
      </c>
      <c r="E10" s="24" t="inlineStr">
        <is>
          <t>建仓10%</t>
        </is>
      </c>
      <c r="F10" s="24" t="inlineStr">
        <is>
          <t>3%</t>
        </is>
      </c>
      <c r="G10" s="24" t="inlineStr">
        <is>
          <t>铝&lt;3200</t>
        </is>
      </c>
      <c r="H10" s="22" t="inlineStr">
        <is>
          <t>核心</t>
        </is>
      </c>
      <c r="I10" s="24" t="inlineStr">
        <is>
          <t>铝业龙头，成本传导</t>
        </is>
      </c>
      <c r="J10" s="24" t="n">
        <v>6.8</v>
      </c>
      <c r="K10" s="24" t="inlineStr">
        <is>
          <t>6.30</t>
        </is>
      </c>
      <c r="L10" s="23" t="inlineStr">
        <is>
          <t>低</t>
        </is>
      </c>
    </row>
    <row r="11" ht="32" customHeight="1">
      <c r="A11" s="20" t="inlineStr">
        <is>
          <t>7月</t>
        </is>
      </c>
      <c r="B11" s="21" t="inlineStr">
        <is>
          <t>600547</t>
        </is>
      </c>
      <c r="C11" s="21" t="inlineStr">
        <is>
          <t>山东黄金</t>
        </is>
      </c>
      <c r="D11" s="21" t="inlineStr">
        <is>
          <t>黄金</t>
        </is>
      </c>
      <c r="E11" s="21" t="inlineStr">
        <is>
          <t>建仓10%</t>
        </is>
      </c>
      <c r="F11" s="21" t="inlineStr">
        <is>
          <t>3%</t>
        </is>
      </c>
      <c r="G11" s="21" t="inlineStr">
        <is>
          <t>AU&lt;3800</t>
        </is>
      </c>
      <c r="H11" s="25" t="inlineStr">
        <is>
          <t>卫星</t>
        </is>
      </c>
      <c r="I11" s="21" t="inlineStr">
        <is>
          <t>金矿龙头，高beta</t>
        </is>
      </c>
      <c r="J11" s="21" t="n">
        <v>28</v>
      </c>
      <c r="K11" s="21" t="inlineStr">
        <is>
          <t>26.50</t>
        </is>
      </c>
      <c r="L11" s="23" t="inlineStr">
        <is>
          <t>低</t>
        </is>
      </c>
    </row>
    <row r="12" ht="32" customHeight="1">
      <c r="A12" s="20" t="inlineStr">
        <is>
          <t>7月</t>
        </is>
      </c>
      <c r="B12" s="24" t="inlineStr">
        <is>
          <t>159934</t>
        </is>
      </c>
      <c r="C12" s="24" t="inlineStr">
        <is>
          <t>易方达黄金ETF</t>
        </is>
      </c>
      <c r="D12" s="24" t="inlineStr">
        <is>
          <t>黄金ETF</t>
        </is>
      </c>
      <c r="E12" s="24" t="inlineStr">
        <is>
          <t>建仓5%</t>
        </is>
      </c>
      <c r="F12" s="24" t="inlineStr">
        <is>
          <t>2%</t>
        </is>
      </c>
      <c r="G12" s="24" t="inlineStr">
        <is>
          <t>AU&lt;3800</t>
        </is>
      </c>
      <c r="H12" s="25" t="inlineStr">
        <is>
          <t>卫星</t>
        </is>
      </c>
      <c r="I12" s="24" t="inlineStr">
        <is>
          <t>备选分散配置</t>
        </is>
      </c>
      <c r="J12" s="24" t="n">
        <v>4.82</v>
      </c>
      <c r="K12" s="24" t="inlineStr">
        <is>
          <t>4.58</t>
        </is>
      </c>
      <c r="L12" s="23" t="inlineStr">
        <is>
          <t>低</t>
        </is>
      </c>
    </row>
    <row r="13" ht="32" customHeight="1">
      <c r="A13" s="26" t="inlineStr">
        <is>
          <t>8月</t>
        </is>
      </c>
      <c r="B13" s="21" t="inlineStr">
        <is>
          <t>600938</t>
        </is>
      </c>
      <c r="C13" s="21" t="inlineStr">
        <is>
          <t>中国海油</t>
        </is>
      </c>
      <c r="D13" s="21" t="inlineStr">
        <is>
          <t>原油</t>
        </is>
      </c>
      <c r="E13" s="21" t="inlineStr">
        <is>
          <t>加仓至30%</t>
        </is>
      </c>
      <c r="F13" s="21" t="inlineStr">
        <is>
          <t>10%</t>
        </is>
      </c>
      <c r="G13" s="21" t="inlineStr">
        <is>
          <t>Brent&lt;90</t>
        </is>
      </c>
      <c r="H13" s="22" t="inlineStr">
        <is>
          <t>核心</t>
        </is>
      </c>
      <c r="I13" s="21" t="inlineStr">
        <is>
          <t>油价站稳90，确认趋势</t>
        </is>
      </c>
      <c r="J13" s="21" t="n">
        <v>30</v>
      </c>
      <c r="K13" s="21" t="inlineStr">
        <is>
          <t>28.50</t>
        </is>
      </c>
      <c r="L13" s="27" t="inlineStr">
        <is>
          <t>中</t>
        </is>
      </c>
    </row>
    <row r="14" ht="32" customHeight="1">
      <c r="A14" s="26" t="inlineStr">
        <is>
          <t>8月</t>
        </is>
      </c>
      <c r="B14" s="24" t="inlineStr">
        <is>
          <t>601225</t>
        </is>
      </c>
      <c r="C14" s="24" t="inlineStr">
        <is>
          <t>陕西煤业</t>
        </is>
      </c>
      <c r="D14" s="24" t="inlineStr">
        <is>
          <t>煤炭</t>
        </is>
      </c>
      <c r="E14" s="24" t="inlineStr">
        <is>
          <t>加仓至25%</t>
        </is>
      </c>
      <c r="F14" s="24" t="inlineStr">
        <is>
          <t>7%</t>
        </is>
      </c>
      <c r="G14" s="24" t="inlineStr">
        <is>
          <t>Brent&lt;90</t>
        </is>
      </c>
      <c r="H14" s="22" t="inlineStr">
        <is>
          <t>核心</t>
        </is>
      </c>
      <c r="I14" s="24" t="inlineStr">
        <is>
          <t>煤价重心上移</t>
        </is>
      </c>
      <c r="J14" s="24" t="n">
        <v>23.5</v>
      </c>
      <c r="K14" s="24" t="inlineStr">
        <is>
          <t>22.00</t>
        </is>
      </c>
      <c r="L14" s="27" t="inlineStr">
        <is>
          <t>中</t>
        </is>
      </c>
    </row>
    <row r="15" ht="32" customHeight="1">
      <c r="A15" s="26" t="inlineStr">
        <is>
          <t>8月</t>
        </is>
      </c>
      <c r="B15" s="21" t="inlineStr">
        <is>
          <t>501018</t>
        </is>
      </c>
      <c r="C15" s="21" t="inlineStr">
        <is>
          <t>南方原油ETF</t>
        </is>
      </c>
      <c r="D15" s="21" t="inlineStr">
        <is>
          <t>原油ETF</t>
        </is>
      </c>
      <c r="E15" s="21" t="inlineStr">
        <is>
          <t>建仓10%</t>
        </is>
      </c>
      <c r="F15" s="21" t="inlineStr">
        <is>
          <t>3%</t>
        </is>
      </c>
      <c r="G15" s="21" t="inlineStr">
        <is>
          <t>Brent&lt;90</t>
        </is>
      </c>
      <c r="H15" s="25" t="inlineStr">
        <is>
          <t>卫星</t>
        </is>
      </c>
      <c r="I15" s="21" t="inlineStr">
        <is>
          <t>跟踪WTI，T+0</t>
        </is>
      </c>
      <c r="J15" s="21" t="n">
        <v>1.35</v>
      </c>
      <c r="K15" s="21" t="inlineStr">
        <is>
          <t>1.28</t>
        </is>
      </c>
      <c r="L15" s="27" t="inlineStr">
        <is>
          <t>中</t>
        </is>
      </c>
    </row>
    <row r="16" ht="32" customHeight="1">
      <c r="A16" s="26" t="inlineStr">
        <is>
          <t>8月</t>
        </is>
      </c>
      <c r="B16" s="24" t="inlineStr">
        <is>
          <t>601899</t>
        </is>
      </c>
      <c r="C16" s="24" t="inlineStr">
        <is>
          <t>紫金矿业</t>
        </is>
      </c>
      <c r="D16" s="24" t="inlineStr">
        <is>
          <t>铜金</t>
        </is>
      </c>
      <c r="E16" s="24" t="inlineStr">
        <is>
          <t>加仓至20%</t>
        </is>
      </c>
      <c r="F16" s="24" t="inlineStr">
        <is>
          <t>6%</t>
        </is>
      </c>
      <c r="G16" s="24" t="inlineStr">
        <is>
          <t>铜&lt;6.2</t>
        </is>
      </c>
      <c r="H16" s="22" t="inlineStr">
        <is>
          <t>核心</t>
        </is>
      </c>
      <c r="I16" s="24" t="inlineStr">
        <is>
          <t>成本传导启动，铜价慢牛</t>
        </is>
      </c>
      <c r="J16" s="24" t="n">
        <v>19.5</v>
      </c>
      <c r="K16" s="24" t="inlineStr">
        <is>
          <t>18.00</t>
        </is>
      </c>
      <c r="L16" s="27" t="inlineStr">
        <is>
          <t>中</t>
        </is>
      </c>
    </row>
    <row r="17" ht="32" customHeight="1">
      <c r="A17" s="26" t="inlineStr">
        <is>
          <t>8月</t>
        </is>
      </c>
      <c r="B17" s="21" t="inlineStr">
        <is>
          <t>600362</t>
        </is>
      </c>
      <c r="C17" s="21" t="inlineStr">
        <is>
          <t>江西铜业</t>
        </is>
      </c>
      <c r="D17" s="21" t="inlineStr">
        <is>
          <t>铜</t>
        </is>
      </c>
      <c r="E17" s="21" t="inlineStr">
        <is>
          <t>加仓至20%</t>
        </is>
      </c>
      <c r="F17" s="21" t="inlineStr">
        <is>
          <t>5%</t>
        </is>
      </c>
      <c r="G17" s="21" t="inlineStr">
        <is>
          <t>铜&lt;6.2</t>
        </is>
      </c>
      <c r="H17" s="22" t="inlineStr">
        <is>
          <t>核心</t>
        </is>
      </c>
      <c r="I17" s="21" t="inlineStr">
        <is>
          <t>冶炼利润修复</t>
        </is>
      </c>
      <c r="J17" s="21" t="n">
        <v>24</v>
      </c>
      <c r="K17" s="21" t="inlineStr">
        <is>
          <t>22.50</t>
        </is>
      </c>
      <c r="L17" s="27" t="inlineStr">
        <is>
          <t>中</t>
        </is>
      </c>
    </row>
    <row r="18" ht="32" customHeight="1">
      <c r="A18" s="26" t="inlineStr">
        <is>
          <t>8月</t>
        </is>
      </c>
      <c r="B18" s="24" t="inlineStr">
        <is>
          <t>601600</t>
        </is>
      </c>
      <c r="C18" s="24" t="inlineStr">
        <is>
          <t>中国铝业</t>
        </is>
      </c>
      <c r="D18" s="24" t="inlineStr">
        <is>
          <t>铝</t>
        </is>
      </c>
      <c r="E18" s="24" t="inlineStr">
        <is>
          <t>加仓至20%</t>
        </is>
      </c>
      <c r="F18" s="24" t="inlineStr">
        <is>
          <t>5%</t>
        </is>
      </c>
      <c r="G18" s="24" t="inlineStr">
        <is>
          <t>铝&lt;3300</t>
        </is>
      </c>
      <c r="H18" s="22" t="inlineStr">
        <is>
          <t>核心</t>
        </is>
      </c>
      <c r="I18" s="24" t="inlineStr">
        <is>
          <t>电费物流涨价</t>
        </is>
      </c>
      <c r="J18" s="24" t="n">
        <v>7.2</v>
      </c>
      <c r="K18" s="24" t="inlineStr">
        <is>
          <t>6.80</t>
        </is>
      </c>
      <c r="L18" s="27" t="inlineStr">
        <is>
          <t>中</t>
        </is>
      </c>
    </row>
    <row r="19" ht="32" customHeight="1">
      <c r="A19" s="26" t="inlineStr">
        <is>
          <t>8月</t>
        </is>
      </c>
      <c r="B19" s="21" t="inlineStr">
        <is>
          <t>518880</t>
        </is>
      </c>
      <c r="C19" s="21" t="inlineStr">
        <is>
          <t>华安黄金ETF</t>
        </is>
      </c>
      <c r="D19" s="21" t="inlineStr">
        <is>
          <t>黄金ETF</t>
        </is>
      </c>
      <c r="E19" s="21" t="inlineStr">
        <is>
          <t>加仓至15%</t>
        </is>
      </c>
      <c r="F19" s="21" t="inlineStr">
        <is>
          <t>7%</t>
        </is>
      </c>
      <c r="G19" s="21" t="inlineStr">
        <is>
          <t>AU&lt;3900</t>
        </is>
      </c>
      <c r="H19" s="22" t="inlineStr">
        <is>
          <t>核心</t>
        </is>
      </c>
      <c r="I19" s="21" t="inlineStr">
        <is>
          <t>地缘避险支撑</t>
        </is>
      </c>
      <c r="J19" s="21" t="n">
        <v>5</v>
      </c>
      <c r="K19" s="21" t="inlineStr">
        <is>
          <t>4.75</t>
        </is>
      </c>
      <c r="L19" s="27" t="inlineStr">
        <is>
          <t>中</t>
        </is>
      </c>
    </row>
    <row r="20" ht="32" customHeight="1">
      <c r="A20" s="26" t="inlineStr">
        <is>
          <t>8月</t>
        </is>
      </c>
      <c r="B20" s="24" t="inlineStr">
        <is>
          <t>600547</t>
        </is>
      </c>
      <c r="C20" s="24" t="inlineStr">
        <is>
          <t>山东黄金</t>
        </is>
      </c>
      <c r="D20" s="24" t="inlineStr">
        <is>
          <t>黄金</t>
        </is>
      </c>
      <c r="E20" s="24" t="inlineStr">
        <is>
          <t>加仓至15%</t>
        </is>
      </c>
      <c r="F20" s="24" t="inlineStr">
        <is>
          <t>4%</t>
        </is>
      </c>
      <c r="G20" s="24" t="inlineStr">
        <is>
          <t>AU&lt;3900</t>
        </is>
      </c>
      <c r="H20" s="25" t="inlineStr">
        <is>
          <t>卫星</t>
        </is>
      </c>
      <c r="I20" s="24" t="inlineStr">
        <is>
          <t>金价高位震荡</t>
        </is>
      </c>
      <c r="J20" s="24" t="n">
        <v>29.5</v>
      </c>
      <c r="K20" s="24" t="inlineStr">
        <is>
          <t>27.50</t>
        </is>
      </c>
      <c r="L20" s="27" t="inlineStr">
        <is>
          <t>中</t>
        </is>
      </c>
    </row>
    <row r="21" ht="32" customHeight="1">
      <c r="A21" s="26" t="inlineStr">
        <is>
          <t>8月</t>
        </is>
      </c>
      <c r="B21" s="21" t="inlineStr">
        <is>
          <t>601212</t>
        </is>
      </c>
      <c r="C21" s="21" t="inlineStr">
        <is>
          <t>白银有色</t>
        </is>
      </c>
      <c r="D21" s="21" t="inlineStr">
        <is>
          <t>白银</t>
        </is>
      </c>
      <c r="E21" s="21" t="inlineStr">
        <is>
          <t>建仓10%</t>
        </is>
      </c>
      <c r="F21" s="21" t="inlineStr">
        <is>
          <t>3%</t>
        </is>
      </c>
      <c r="G21" s="21" t="inlineStr">
        <is>
          <t>Ag&lt;55</t>
        </is>
      </c>
      <c r="H21" s="25" t="inlineStr">
        <is>
          <t>卫星</t>
        </is>
      </c>
      <c r="I21" s="21" t="inlineStr">
        <is>
          <t>白银工业属性</t>
        </is>
      </c>
      <c r="J21" s="21" t="n">
        <v>3.2</v>
      </c>
      <c r="K21" s="21" t="inlineStr">
        <is>
          <t>3.00</t>
        </is>
      </c>
      <c r="L21" s="27" t="inlineStr">
        <is>
          <t>中</t>
        </is>
      </c>
    </row>
    <row r="22" ht="32" customHeight="1">
      <c r="A22" s="28" t="inlineStr">
        <is>
          <t>9月</t>
        </is>
      </c>
      <c r="B22" s="24" t="inlineStr">
        <is>
          <t>600938</t>
        </is>
      </c>
      <c r="C22" s="24" t="inlineStr">
        <is>
          <t>中国海油</t>
        </is>
      </c>
      <c r="D22" s="24" t="inlineStr">
        <is>
          <t>原油</t>
        </is>
      </c>
      <c r="E22" s="24" t="inlineStr">
        <is>
          <t>加满至40%</t>
        </is>
      </c>
      <c r="F22" s="24" t="inlineStr">
        <is>
          <t>12%</t>
        </is>
      </c>
      <c r="G22" s="24" t="inlineStr">
        <is>
          <t>Brent&lt;100</t>
        </is>
      </c>
      <c r="H22" s="22" t="inlineStr">
        <is>
          <t>核心</t>
        </is>
      </c>
      <c r="I22" s="24" t="inlineStr">
        <is>
          <t>9.30前冲刺，冲击150</t>
        </is>
      </c>
      <c r="J22" s="24" t="n">
        <v>32</v>
      </c>
      <c r="K22" s="24" t="inlineStr">
        <is>
          <t>30.00</t>
        </is>
      </c>
      <c r="L22" s="29" t="inlineStr">
        <is>
          <t>高</t>
        </is>
      </c>
    </row>
    <row r="23" ht="32" customHeight="1">
      <c r="A23" s="28" t="inlineStr">
        <is>
          <t>9月</t>
        </is>
      </c>
      <c r="B23" s="21" t="inlineStr">
        <is>
          <t>601225</t>
        </is>
      </c>
      <c r="C23" s="21" t="inlineStr">
        <is>
          <t>陕西煤业</t>
        </is>
      </c>
      <c r="D23" s="21" t="inlineStr">
        <is>
          <t>煤炭</t>
        </is>
      </c>
      <c r="E23" s="21" t="inlineStr">
        <is>
          <t>加满至35%</t>
        </is>
      </c>
      <c r="F23" s="21" t="inlineStr">
        <is>
          <t>8%</t>
        </is>
      </c>
      <c r="G23" s="21" t="inlineStr">
        <is>
          <t>Brent&lt;100</t>
        </is>
      </c>
      <c r="H23" s="22" t="inlineStr">
        <is>
          <t>核心</t>
        </is>
      </c>
      <c r="I23" s="21" t="inlineStr">
        <is>
          <t>满仓位等主升浪</t>
        </is>
      </c>
      <c r="J23" s="21" t="n">
        <v>25</v>
      </c>
      <c r="K23" s="21" t="inlineStr">
        <is>
          <t>23.00</t>
        </is>
      </c>
      <c r="L23" s="29" t="inlineStr">
        <is>
          <t>高</t>
        </is>
      </c>
    </row>
    <row r="24" ht="32" customHeight="1">
      <c r="A24" s="28" t="inlineStr">
        <is>
          <t>9月</t>
        </is>
      </c>
      <c r="B24" s="24" t="inlineStr">
        <is>
          <t>601857</t>
        </is>
      </c>
      <c r="C24" s="24" t="inlineStr">
        <is>
          <t>中国石油</t>
        </is>
      </c>
      <c r="D24" s="24" t="inlineStr">
        <is>
          <t>原油</t>
        </is>
      </c>
      <c r="E24" s="24" t="inlineStr">
        <is>
          <t>加仓至25%</t>
        </is>
      </c>
      <c r="F24" s="24" t="inlineStr">
        <is>
          <t>6%</t>
        </is>
      </c>
      <c r="G24" s="24" t="inlineStr">
        <is>
          <t>Brent&lt;100</t>
        </is>
      </c>
      <c r="H24" s="22" t="inlineStr">
        <is>
          <t>核心</t>
        </is>
      </c>
      <c r="I24" s="24" t="inlineStr">
        <is>
          <t>炼化利润爆发</t>
        </is>
      </c>
      <c r="J24" s="24" t="n">
        <v>9.5</v>
      </c>
      <c r="K24" s="24" t="inlineStr">
        <is>
          <t>8.80</t>
        </is>
      </c>
      <c r="L24" s="29" t="inlineStr">
        <is>
          <t>高</t>
        </is>
      </c>
    </row>
    <row r="25" ht="32" customHeight="1">
      <c r="A25" s="28" t="inlineStr">
        <is>
          <t>9月</t>
        </is>
      </c>
      <c r="B25" s="21" t="inlineStr">
        <is>
          <t>601899</t>
        </is>
      </c>
      <c r="C25" s="21" t="inlineStr">
        <is>
          <t>紫金矿业</t>
        </is>
      </c>
      <c r="D25" s="21" t="inlineStr">
        <is>
          <t>铜金</t>
        </is>
      </c>
      <c r="E25" s="21" t="inlineStr">
        <is>
          <t>加满至30%</t>
        </is>
      </c>
      <c r="F25" s="21" t="inlineStr">
        <is>
          <t>8%</t>
        </is>
      </c>
      <c r="G25" s="21" t="inlineStr">
        <is>
          <t>铜&lt;6.5</t>
        </is>
      </c>
      <c r="H25" s="22" t="inlineStr">
        <is>
          <t>核心</t>
        </is>
      </c>
      <c r="I25" s="21" t="inlineStr">
        <is>
          <t>战略补库加速</t>
        </is>
      </c>
      <c r="J25" s="21" t="n">
        <v>21</v>
      </c>
      <c r="K25" s="21" t="inlineStr">
        <is>
          <t>19.50</t>
        </is>
      </c>
      <c r="L25" s="29" t="inlineStr">
        <is>
          <t>高</t>
        </is>
      </c>
    </row>
    <row r="26" ht="32" customHeight="1">
      <c r="A26" s="28" t="inlineStr">
        <is>
          <t>9月</t>
        </is>
      </c>
      <c r="B26" s="24" t="inlineStr">
        <is>
          <t>600362</t>
        </is>
      </c>
      <c r="C26" s="24" t="inlineStr">
        <is>
          <t>江西铜业</t>
        </is>
      </c>
      <c r="D26" s="24" t="inlineStr">
        <is>
          <t>铜</t>
        </is>
      </c>
      <c r="E26" s="24" t="inlineStr">
        <is>
          <t>加满至30%</t>
        </is>
      </c>
      <c r="F26" s="24" t="inlineStr">
        <is>
          <t>6%</t>
        </is>
      </c>
      <c r="G26" s="24" t="inlineStr">
        <is>
          <t>铜&lt;6.5</t>
        </is>
      </c>
      <c r="H26" s="22" t="inlineStr">
        <is>
          <t>核心</t>
        </is>
      </c>
      <c r="I26" s="24" t="inlineStr">
        <is>
          <t>冶炼利润最大化</t>
        </is>
      </c>
      <c r="J26" s="24" t="n">
        <v>26</v>
      </c>
      <c r="K26" s="24" t="inlineStr">
        <is>
          <t>24.00</t>
        </is>
      </c>
      <c r="L26" s="29" t="inlineStr">
        <is>
          <t>高</t>
        </is>
      </c>
    </row>
    <row r="27" ht="32" customHeight="1">
      <c r="A27" s="28" t="inlineStr">
        <is>
          <t>9月</t>
        </is>
      </c>
      <c r="B27" s="21" t="inlineStr">
        <is>
          <t>601600</t>
        </is>
      </c>
      <c r="C27" s="21" t="inlineStr">
        <is>
          <t>中国铝业</t>
        </is>
      </c>
      <c r="D27" s="21" t="inlineStr">
        <is>
          <t>铝</t>
        </is>
      </c>
      <c r="E27" s="21" t="inlineStr">
        <is>
          <t>加满至30%</t>
        </is>
      </c>
      <c r="F27" s="21" t="inlineStr">
        <is>
          <t>6%</t>
        </is>
      </c>
      <c r="G27" s="21" t="inlineStr">
        <is>
          <t>铝&lt;3500</t>
        </is>
      </c>
      <c r="H27" s="22" t="inlineStr">
        <is>
          <t>核心</t>
        </is>
      </c>
      <c r="I27" s="21" t="inlineStr">
        <is>
          <t>成本传导加速</t>
        </is>
      </c>
      <c r="J27" s="21" t="n">
        <v>7.8</v>
      </c>
      <c r="K27" s="21" t="inlineStr">
        <is>
          <t>7.20</t>
        </is>
      </c>
      <c r="L27" s="29" t="inlineStr">
        <is>
          <t>高</t>
        </is>
      </c>
    </row>
    <row r="28" ht="32" customHeight="1">
      <c r="A28" s="28" t="inlineStr">
        <is>
          <t>9月</t>
        </is>
      </c>
      <c r="B28" s="24" t="inlineStr">
        <is>
          <t>518880</t>
        </is>
      </c>
      <c r="C28" s="24" t="inlineStr">
        <is>
          <t>华安黄金ETF</t>
        </is>
      </c>
      <c r="D28" s="24" t="inlineStr">
        <is>
          <t>黄金ETF</t>
        </is>
      </c>
      <c r="E28" s="24" t="inlineStr">
        <is>
          <t>减仓至10%</t>
        </is>
      </c>
      <c r="F28" s="24" t="inlineStr">
        <is>
          <t>5%</t>
        </is>
      </c>
      <c r="G28" s="24" t="inlineStr">
        <is>
          <t>AU&lt;4000</t>
        </is>
      </c>
      <c r="H28" s="30" t="inlineStr">
        <is>
          <t>交易</t>
        </is>
      </c>
      <c r="I28" s="24" t="inlineStr">
        <is>
          <t>高位震荡，减仓保现金</t>
        </is>
      </c>
      <c r="J28" s="24" t="n">
        <v>5.2</v>
      </c>
      <c r="K28" s="24" t="inlineStr">
        <is>
          <t>4.90</t>
        </is>
      </c>
      <c r="L28" s="29" t="inlineStr">
        <is>
          <t>高</t>
        </is>
      </c>
    </row>
    <row r="29" ht="32" customHeight="1">
      <c r="A29" s="28" t="inlineStr">
        <is>
          <t>9月</t>
        </is>
      </c>
      <c r="B29" s="21" t="inlineStr">
        <is>
          <t>600547</t>
        </is>
      </c>
      <c r="C29" s="21" t="inlineStr">
        <is>
          <t>山东黄金</t>
        </is>
      </c>
      <c r="D29" s="21" t="inlineStr">
        <is>
          <t>黄金</t>
        </is>
      </c>
      <c r="E29" s="21" t="inlineStr">
        <is>
          <t>减仓至10%</t>
        </is>
      </c>
      <c r="F29" s="21" t="inlineStr">
        <is>
          <t>3%</t>
        </is>
      </c>
      <c r="G29" s="21" t="inlineStr">
        <is>
          <t>AU&lt;4000</t>
        </is>
      </c>
      <c r="H29" s="30" t="inlineStr">
        <is>
          <t>交易</t>
        </is>
      </c>
      <c r="I29" s="21" t="inlineStr">
        <is>
          <t>高beta风险，获利了结</t>
        </is>
      </c>
      <c r="J29" s="21" t="n">
        <v>31</v>
      </c>
      <c r="K29" s="21" t="inlineStr">
        <is>
          <t>28.00</t>
        </is>
      </c>
      <c r="L29" s="29" t="inlineStr">
        <is>
          <t>高</t>
        </is>
      </c>
    </row>
    <row r="30" ht="32" customHeight="1">
      <c r="A30" s="28" t="inlineStr">
        <is>
          <t>9月</t>
        </is>
      </c>
      <c r="B30" s="24" t="inlineStr">
        <is>
          <t>601212</t>
        </is>
      </c>
      <c r="C30" s="24" t="inlineStr">
        <is>
          <t>白银有色</t>
        </is>
      </c>
      <c r="D30" s="24" t="inlineStr">
        <is>
          <t>白银</t>
        </is>
      </c>
      <c r="E30" s="24" t="inlineStr">
        <is>
          <t>加仓至15%</t>
        </is>
      </c>
      <c r="F30" s="24" t="inlineStr">
        <is>
          <t>4%</t>
        </is>
      </c>
      <c r="G30" s="24" t="inlineStr">
        <is>
          <t>Ag&lt;55</t>
        </is>
      </c>
      <c r="H30" s="25" t="inlineStr">
        <is>
          <t>卫星</t>
        </is>
      </c>
      <c r="I30" s="24" t="inlineStr">
        <is>
          <t>白银工业需求</t>
        </is>
      </c>
      <c r="J30" s="24" t="n">
        <v>3.5</v>
      </c>
      <c r="K30" s="24" t="inlineStr">
        <is>
          <t>3.20</t>
        </is>
      </c>
      <c r="L30" s="29" t="inlineStr">
        <is>
          <t>高</t>
        </is>
      </c>
    </row>
    <row r="31" ht="32" customHeight="1">
      <c r="A31" s="31" t="inlineStr">
        <is>
          <t>10-11月</t>
        </is>
      </c>
      <c r="B31" s="21" t="inlineStr">
        <is>
          <t>600938</t>
        </is>
      </c>
      <c r="C31" s="21" t="inlineStr">
        <is>
          <t>中国海油</t>
        </is>
      </c>
      <c r="D31" s="21" t="inlineStr">
        <is>
          <t>原油</t>
        </is>
      </c>
      <c r="E31" s="21" t="inlineStr">
        <is>
          <t>回调补仓</t>
        </is>
      </c>
      <c r="F31" s="21" t="inlineStr">
        <is>
          <t>12%</t>
        </is>
      </c>
      <c r="G31" s="21" t="inlineStr">
        <is>
          <t>Brent&lt;80</t>
        </is>
      </c>
      <c r="H31" s="22" t="inlineStr">
        <is>
          <t>核心</t>
        </is>
      </c>
      <c r="I31" s="21" t="inlineStr">
        <is>
          <t>向心坍缩速冻，回调买入</t>
        </is>
      </c>
      <c r="J31" s="21" t="n">
        <v>27</v>
      </c>
      <c r="K31" s="21" t="inlineStr">
        <is>
          <t>25.00</t>
        </is>
      </c>
      <c r="L31" s="32" t="inlineStr">
        <is>
          <t>极高</t>
        </is>
      </c>
    </row>
    <row r="32" ht="32" customHeight="1">
      <c r="A32" s="31" t="inlineStr">
        <is>
          <t>10-11月</t>
        </is>
      </c>
      <c r="B32" s="24" t="inlineStr">
        <is>
          <t>601225</t>
        </is>
      </c>
      <c r="C32" s="24" t="inlineStr">
        <is>
          <t>陕西煤业</t>
        </is>
      </c>
      <c r="D32" s="24" t="inlineStr">
        <is>
          <t>煤炭</t>
        </is>
      </c>
      <c r="E32" s="24" t="inlineStr">
        <is>
          <t>回调补仓</t>
        </is>
      </c>
      <c r="F32" s="24" t="inlineStr">
        <is>
          <t>8%</t>
        </is>
      </c>
      <c r="G32" s="24" t="inlineStr">
        <is>
          <t>Brent&lt;80</t>
        </is>
      </c>
      <c r="H32" s="22" t="inlineStr">
        <is>
          <t>核心</t>
        </is>
      </c>
      <c r="I32" s="24" t="inlineStr">
        <is>
          <t>dollar速冻，煤价承压</t>
        </is>
      </c>
      <c r="J32" s="24" t="n">
        <v>21</v>
      </c>
      <c r="K32" s="24" t="inlineStr">
        <is>
          <t>19.50</t>
        </is>
      </c>
      <c r="L32" s="32" t="inlineStr">
        <is>
          <t>极高</t>
        </is>
      </c>
    </row>
    <row r="33" ht="32" customHeight="1">
      <c r="A33" s="31" t="inlineStr">
        <is>
          <t>10-11月</t>
        </is>
      </c>
      <c r="B33" s="21" t="inlineStr">
        <is>
          <t>501018</t>
        </is>
      </c>
      <c r="C33" s="21" t="inlineStr">
        <is>
          <t>南方原油ETF</t>
        </is>
      </c>
      <c r="D33" s="21" t="inlineStr">
        <is>
          <t>原油ETF</t>
        </is>
      </c>
      <c r="E33" s="21" t="inlineStr">
        <is>
          <t>大幅加仓</t>
        </is>
      </c>
      <c r="F33" s="21" t="inlineStr">
        <is>
          <t>5%</t>
        </is>
      </c>
      <c r="G33" s="21" t="inlineStr">
        <is>
          <t>Brent&lt;80</t>
        </is>
      </c>
      <c r="H33" s="22" t="inlineStr">
        <is>
          <t>核心</t>
        </is>
      </c>
      <c r="I33" s="21" t="inlineStr">
        <is>
          <t>回调最佳窗口</t>
        </is>
      </c>
      <c r="J33" s="21" t="n">
        <v>1.2</v>
      </c>
      <c r="K33" s="21" t="inlineStr">
        <is>
          <t>1.10</t>
        </is>
      </c>
      <c r="L33" s="32" t="inlineStr">
        <is>
          <t>极高</t>
        </is>
      </c>
    </row>
    <row r="34" ht="32" customHeight="1">
      <c r="A34" s="31" t="inlineStr">
        <is>
          <t>10-11月</t>
        </is>
      </c>
      <c r="B34" s="24" t="inlineStr">
        <is>
          <t>601899</t>
        </is>
      </c>
      <c r="C34" s="24" t="inlineStr">
        <is>
          <t>紫金矿业</t>
        </is>
      </c>
      <c r="D34" s="24" t="inlineStr">
        <is>
          <t>铜金</t>
        </is>
      </c>
      <c r="E34" s="24" t="inlineStr">
        <is>
          <t>回调补仓</t>
        </is>
      </c>
      <c r="F34" s="24" t="inlineStr">
        <is>
          <t>8%</t>
        </is>
      </c>
      <c r="G34" s="24" t="inlineStr">
        <is>
          <t>铜&lt;6.0</t>
        </is>
      </c>
      <c r="H34" s="22" t="inlineStr">
        <is>
          <t>核心</t>
        </is>
      </c>
      <c r="I34" s="24" t="inlineStr">
        <is>
          <t>最佳二次布局</t>
        </is>
      </c>
      <c r="J34" s="24" t="n">
        <v>17.5</v>
      </c>
      <c r="K34" s="24" t="inlineStr">
        <is>
          <t>16.00</t>
        </is>
      </c>
      <c r="L34" s="32" t="inlineStr">
        <is>
          <t>极高</t>
        </is>
      </c>
    </row>
    <row r="35" ht="32" customHeight="1">
      <c r="A35" s="31" t="inlineStr">
        <is>
          <t>10-11月</t>
        </is>
      </c>
      <c r="B35" s="21" t="inlineStr">
        <is>
          <t>600362</t>
        </is>
      </c>
      <c r="C35" s="21" t="inlineStr">
        <is>
          <t>江西铜业</t>
        </is>
      </c>
      <c r="D35" s="21" t="inlineStr">
        <is>
          <t>铜</t>
        </is>
      </c>
      <c r="E35" s="21" t="inlineStr">
        <is>
          <t>回调补仓</t>
        </is>
      </c>
      <c r="F35" s="21" t="inlineStr">
        <is>
          <t>6%</t>
        </is>
      </c>
      <c r="G35" s="21" t="inlineStr">
        <is>
          <t>铜&lt;6.0</t>
        </is>
      </c>
      <c r="H35" s="22" t="inlineStr">
        <is>
          <t>核心</t>
        </is>
      </c>
      <c r="I35" s="21" t="inlineStr">
        <is>
          <t>冶炼回调，逢低加仓</t>
        </is>
      </c>
      <c r="J35" s="21" t="n">
        <v>21</v>
      </c>
      <c r="K35" s="21" t="inlineStr">
        <is>
          <t>19.00</t>
        </is>
      </c>
      <c r="L35" s="32" t="inlineStr">
        <is>
          <t>极高</t>
        </is>
      </c>
    </row>
    <row r="36" ht="32" customHeight="1">
      <c r="A36" s="31" t="inlineStr">
        <is>
          <t>10-11月</t>
        </is>
      </c>
      <c r="B36" s="24" t="inlineStr">
        <is>
          <t>601600</t>
        </is>
      </c>
      <c r="C36" s="24" t="inlineStr">
        <is>
          <t>中国铝业</t>
        </is>
      </c>
      <c r="D36" s="24" t="inlineStr">
        <is>
          <t>铝</t>
        </is>
      </c>
      <c r="E36" s="24" t="inlineStr">
        <is>
          <t>回调补仓</t>
        </is>
      </c>
      <c r="F36" s="24" t="inlineStr">
        <is>
          <t>6%</t>
        </is>
      </c>
      <c r="G36" s="24" t="inlineStr">
        <is>
          <t>铝&lt;3200</t>
        </is>
      </c>
      <c r="H36" s="22" t="inlineStr">
        <is>
          <t>核心</t>
        </is>
      </c>
      <c r="I36" s="24" t="inlineStr">
        <is>
          <t>成本传导暂停</t>
        </is>
      </c>
      <c r="J36" s="24" t="n">
        <v>6.5</v>
      </c>
      <c r="K36" s="24" t="inlineStr">
        <is>
          <t>5.80</t>
        </is>
      </c>
      <c r="L36" s="32" t="inlineStr">
        <is>
          <t>极高</t>
        </is>
      </c>
    </row>
    <row r="37" ht="32" customHeight="1">
      <c r="A37" s="31" t="inlineStr">
        <is>
          <t>10-11月</t>
        </is>
      </c>
      <c r="B37" s="21" t="inlineStr">
        <is>
          <t>518880</t>
        </is>
      </c>
      <c r="C37" s="21" t="inlineStr">
        <is>
          <t>华安黄金ETF</t>
        </is>
      </c>
      <c r="D37" s="21" t="inlineStr">
        <is>
          <t>黄金ETF</t>
        </is>
      </c>
      <c r="E37" s="21" t="inlineStr">
        <is>
          <t>大幅加仓</t>
        </is>
      </c>
      <c r="F37" s="21" t="inlineStr">
        <is>
          <t>8%</t>
        </is>
      </c>
      <c r="G37" s="21" t="inlineStr">
        <is>
          <t>AU&lt;3700</t>
        </is>
      </c>
      <c r="H37" s="22" t="inlineStr">
        <is>
          <t>核心</t>
        </is>
      </c>
      <c r="I37" s="21" t="inlineStr">
        <is>
          <t>向心坍缩高潮=买入</t>
        </is>
      </c>
      <c r="J37" s="21" t="n">
        <v>5.4</v>
      </c>
      <c r="K37" s="21" t="inlineStr">
        <is>
          <t>5.00</t>
        </is>
      </c>
      <c r="L37" s="32" t="inlineStr">
        <is>
          <t>极高</t>
        </is>
      </c>
    </row>
    <row r="38" ht="32" customHeight="1">
      <c r="A38" s="31" t="inlineStr">
        <is>
          <t>10-11月</t>
        </is>
      </c>
      <c r="B38" s="24" t="inlineStr">
        <is>
          <t>600547</t>
        </is>
      </c>
      <c r="C38" s="24" t="inlineStr">
        <is>
          <t>山东黄金</t>
        </is>
      </c>
      <c r="D38" s="24" t="inlineStr">
        <is>
          <t>黄金</t>
        </is>
      </c>
      <c r="E38" s="24" t="inlineStr">
        <is>
          <t>大幅加仓</t>
        </is>
      </c>
      <c r="F38" s="24" t="inlineStr">
        <is>
          <t>5%</t>
        </is>
      </c>
      <c r="G38" s="24" t="inlineStr">
        <is>
          <t>AU&lt;3700</t>
        </is>
      </c>
      <c r="H38" s="22" t="inlineStr">
        <is>
          <t>核心</t>
        </is>
      </c>
      <c r="I38" s="24" t="inlineStr">
        <is>
          <t>重挫后最佳买入</t>
        </is>
      </c>
      <c r="J38" s="24" t="n">
        <v>26</v>
      </c>
      <c r="K38" s="24" t="inlineStr">
        <is>
          <t>24.00</t>
        </is>
      </c>
      <c r="L38" s="32" t="inlineStr">
        <is>
          <t>极高</t>
        </is>
      </c>
    </row>
    <row r="39" ht="32" customHeight="1">
      <c r="A39" s="31" t="inlineStr">
        <is>
          <t>10-11月</t>
        </is>
      </c>
      <c r="B39" s="21" t="inlineStr">
        <is>
          <t>518800</t>
        </is>
      </c>
      <c r="C39" s="21" t="inlineStr">
        <is>
          <t>国泰黄金ETF</t>
        </is>
      </c>
      <c r="D39" s="21" t="inlineStr">
        <is>
          <t>黄金ETF</t>
        </is>
      </c>
      <c r="E39" s="21" t="inlineStr">
        <is>
          <t>建仓10%</t>
        </is>
      </c>
      <c r="F39" s="21" t="inlineStr">
        <is>
          <t>4%</t>
        </is>
      </c>
      <c r="G39" s="21" t="inlineStr">
        <is>
          <t>AU&lt;3700</t>
        </is>
      </c>
      <c r="H39" s="25" t="inlineStr">
        <is>
          <t>卫星</t>
        </is>
      </c>
      <c r="I39" s="21" t="inlineStr">
        <is>
          <t>二次布局分散</t>
        </is>
      </c>
      <c r="J39" s="21" t="n">
        <v>5.35</v>
      </c>
      <c r="K39" s="21" t="inlineStr">
        <is>
          <t>5.00</t>
        </is>
      </c>
      <c r="L39" s="32" t="inlineStr">
        <is>
          <t>极高</t>
        </is>
      </c>
    </row>
    <row r="40" ht="32" customHeight="1">
      <c r="A40" s="33" t="inlineStr">
        <is>
          <t>12月</t>
        </is>
      </c>
      <c r="B40" s="24" t="inlineStr">
        <is>
          <t>600938</t>
        </is>
      </c>
      <c r="C40" s="24" t="inlineStr">
        <is>
          <t>中国海油</t>
        </is>
      </c>
      <c r="D40" s="24" t="inlineStr">
        <is>
          <t>原油</t>
        </is>
      </c>
      <c r="E40" s="24" t="inlineStr">
        <is>
          <t>满仓持有</t>
        </is>
      </c>
      <c r="F40" s="24" t="inlineStr">
        <is>
          <t>15%</t>
        </is>
      </c>
      <c r="G40" s="24" t="inlineStr">
        <is>
          <t>Brent&lt;100</t>
        </is>
      </c>
      <c r="H40" s="22" t="inlineStr">
        <is>
          <t>核心</t>
        </is>
      </c>
      <c r="I40" s="24" t="inlineStr">
        <is>
          <t>圣诞放水，第二轮主升</t>
        </is>
      </c>
      <c r="J40" s="24" t="n">
        <v>35</v>
      </c>
      <c r="K40" s="24" t="inlineStr">
        <is>
          <t>32.00</t>
        </is>
      </c>
      <c r="L40" s="27" t="inlineStr">
        <is>
          <t>中</t>
        </is>
      </c>
    </row>
    <row r="41" ht="32" customHeight="1">
      <c r="A41" s="33" t="inlineStr">
        <is>
          <t>12月</t>
        </is>
      </c>
      <c r="B41" s="21" t="inlineStr">
        <is>
          <t>601225</t>
        </is>
      </c>
      <c r="C41" s="21" t="inlineStr">
        <is>
          <t>陕西煤业</t>
        </is>
      </c>
      <c r="D41" s="21" t="inlineStr">
        <is>
          <t>煤炭</t>
        </is>
      </c>
      <c r="E41" s="21" t="inlineStr">
        <is>
          <t>满仓持有</t>
        </is>
      </c>
      <c r="F41" s="21" t="inlineStr">
        <is>
          <t>10%</t>
        </is>
      </c>
      <c r="G41" s="21" t="inlineStr">
        <is>
          <t>Brent&lt;100</t>
        </is>
      </c>
      <c r="H41" s="22" t="inlineStr">
        <is>
          <t>核心</t>
        </is>
      </c>
      <c r="I41" s="21" t="inlineStr">
        <is>
          <t>煤化工回暖</t>
        </is>
      </c>
      <c r="J41" s="21" t="n">
        <v>27</v>
      </c>
      <c r="K41" s="21" t="inlineStr">
        <is>
          <t>24.00</t>
        </is>
      </c>
      <c r="L41" s="27" t="inlineStr">
        <is>
          <t>中</t>
        </is>
      </c>
    </row>
    <row r="42" ht="32" customHeight="1">
      <c r="A42" s="33" t="inlineStr">
        <is>
          <t>12月</t>
        </is>
      </c>
      <c r="B42" s="24" t="inlineStr">
        <is>
          <t>601857</t>
        </is>
      </c>
      <c r="C42" s="24" t="inlineStr">
        <is>
          <t>中国石油</t>
        </is>
      </c>
      <c r="D42" s="24" t="inlineStr">
        <is>
          <t>原油</t>
        </is>
      </c>
      <c r="E42" s="24" t="inlineStr">
        <is>
          <t>满仓持有</t>
        </is>
      </c>
      <c r="F42" s="24" t="inlineStr">
        <is>
          <t>8%</t>
        </is>
      </c>
      <c r="G42" s="24" t="inlineStr">
        <is>
          <t>Brent&lt;100</t>
        </is>
      </c>
      <c r="H42" s="22" t="inlineStr">
        <is>
          <t>核心</t>
        </is>
      </c>
      <c r="I42" s="24" t="inlineStr">
        <is>
          <t>炼化利润修复</t>
        </is>
      </c>
      <c r="J42" s="24" t="n">
        <v>10.5</v>
      </c>
      <c r="K42" s="24" t="inlineStr">
        <is>
          <t>9.50</t>
        </is>
      </c>
      <c r="L42" s="27" t="inlineStr">
        <is>
          <t>中</t>
        </is>
      </c>
    </row>
    <row r="43" ht="32" customHeight="1">
      <c r="A43" s="33" t="inlineStr">
        <is>
          <t>12月</t>
        </is>
      </c>
      <c r="B43" s="21" t="inlineStr">
        <is>
          <t>601899</t>
        </is>
      </c>
      <c r="C43" s="21" t="inlineStr">
        <is>
          <t>紫金矿业</t>
        </is>
      </c>
      <c r="D43" s="21" t="inlineStr">
        <is>
          <t>铜金</t>
        </is>
      </c>
      <c r="E43" s="21" t="inlineStr">
        <is>
          <t>满仓持有</t>
        </is>
      </c>
      <c r="F43" s="21" t="inlineStr">
        <is>
          <t>10%</t>
        </is>
      </c>
      <c r="G43" s="21" t="inlineStr">
        <is>
          <t>铜&lt;6.5</t>
        </is>
      </c>
      <c r="H43" s="22" t="inlineStr">
        <is>
          <t>核心</t>
        </is>
      </c>
      <c r="I43" s="21" t="inlineStr">
        <is>
          <t>输入型通胀扩散</t>
        </is>
      </c>
      <c r="J43" s="21" t="n">
        <v>23</v>
      </c>
      <c r="K43" s="21" t="inlineStr">
        <is>
          <t>21.00</t>
        </is>
      </c>
      <c r="L43" s="27" t="inlineStr">
        <is>
          <t>中</t>
        </is>
      </c>
    </row>
    <row r="44" ht="32" customHeight="1">
      <c r="A44" s="33" t="inlineStr">
        <is>
          <t>12月</t>
        </is>
      </c>
      <c r="B44" s="24" t="inlineStr">
        <is>
          <t>600362</t>
        </is>
      </c>
      <c r="C44" s="24" t="inlineStr">
        <is>
          <t>江西铜业</t>
        </is>
      </c>
      <c r="D44" s="24" t="inlineStr">
        <is>
          <t>铜</t>
        </is>
      </c>
      <c r="E44" s="24" t="inlineStr">
        <is>
          <t>满仓持有</t>
        </is>
      </c>
      <c r="F44" s="24" t="inlineStr">
        <is>
          <t>8%</t>
        </is>
      </c>
      <c r="G44" s="24" t="inlineStr">
        <is>
          <t>铜&lt;6.5</t>
        </is>
      </c>
      <c r="H44" s="22" t="inlineStr">
        <is>
          <t>核心</t>
        </is>
      </c>
      <c r="I44" s="24" t="inlineStr">
        <is>
          <t>制造业复苏</t>
        </is>
      </c>
      <c r="J44" s="24" t="n">
        <v>28</v>
      </c>
      <c r="K44" s="24" t="inlineStr">
        <is>
          <t>25.00</t>
        </is>
      </c>
      <c r="L44" s="27" t="inlineStr">
        <is>
          <t>中</t>
        </is>
      </c>
    </row>
    <row r="45" ht="32" customHeight="1">
      <c r="A45" s="33" t="inlineStr">
        <is>
          <t>12月</t>
        </is>
      </c>
      <c r="B45" s="21" t="inlineStr">
        <is>
          <t>601600</t>
        </is>
      </c>
      <c r="C45" s="21" t="inlineStr">
        <is>
          <t>中国铝业</t>
        </is>
      </c>
      <c r="D45" s="21" t="inlineStr">
        <is>
          <t>铝</t>
        </is>
      </c>
      <c r="E45" s="21" t="inlineStr">
        <is>
          <t>满仓持有</t>
        </is>
      </c>
      <c r="F45" s="21" t="inlineStr">
        <is>
          <t>8%</t>
        </is>
      </c>
      <c r="G45" s="21" t="inlineStr">
        <is>
          <t>铝&lt;3500</t>
        </is>
      </c>
      <c r="H45" s="22" t="inlineStr">
        <is>
          <t>核心</t>
        </is>
      </c>
      <c r="I45" s="21" t="inlineStr">
        <is>
          <t>全球铝需求回暖</t>
        </is>
      </c>
      <c r="J45" s="21" t="n">
        <v>8.5</v>
      </c>
      <c r="K45" s="21" t="inlineStr">
        <is>
          <t>7.50</t>
        </is>
      </c>
      <c r="L45" s="27" t="inlineStr">
        <is>
          <t>中</t>
        </is>
      </c>
    </row>
    <row r="46" ht="32" customHeight="1">
      <c r="A46" s="33" t="inlineStr">
        <is>
          <t>12月</t>
        </is>
      </c>
      <c r="B46" s="24" t="inlineStr">
        <is>
          <t>518880</t>
        </is>
      </c>
      <c r="C46" s="24" t="inlineStr">
        <is>
          <t>华安黄金ETF</t>
        </is>
      </c>
      <c r="D46" s="24" t="inlineStr">
        <is>
          <t>黄金ETF</t>
        </is>
      </c>
      <c r="E46" s="24" t="inlineStr">
        <is>
          <t>满仓持有</t>
        </is>
      </c>
      <c r="F46" s="24" t="inlineStr">
        <is>
          <t>10%</t>
        </is>
      </c>
      <c r="G46" s="24" t="inlineStr">
        <is>
          <t>AU&lt;4000</t>
        </is>
      </c>
      <c r="H46" s="22" t="inlineStr">
        <is>
          <t>核心</t>
        </is>
      </c>
      <c r="I46" s="24" t="inlineStr">
        <is>
          <t>美元流动性泛滥</t>
        </is>
      </c>
      <c r="J46" s="24" t="n">
        <v>5.6</v>
      </c>
      <c r="K46" s="24" t="inlineStr">
        <is>
          <t>5.20</t>
        </is>
      </c>
      <c r="L46" s="27" t="inlineStr">
        <is>
          <t>中</t>
        </is>
      </c>
    </row>
    <row r="47" ht="32" customHeight="1">
      <c r="A47" s="33" t="inlineStr">
        <is>
          <t>12月</t>
        </is>
      </c>
      <c r="B47" s="21" t="inlineStr">
        <is>
          <t>600547</t>
        </is>
      </c>
      <c r="C47" s="21" t="inlineStr">
        <is>
          <t>山东黄金</t>
        </is>
      </c>
      <c r="D47" s="21" t="inlineStr">
        <is>
          <t>黄金</t>
        </is>
      </c>
      <c r="E47" s="21" t="inlineStr">
        <is>
          <t>满仓持有</t>
        </is>
      </c>
      <c r="F47" s="21" t="inlineStr">
        <is>
          <t>7%</t>
        </is>
      </c>
      <c r="G47" s="21" t="inlineStr">
        <is>
          <t>AU&lt;4000</t>
        </is>
      </c>
      <c r="H47" s="22" t="inlineStr">
        <is>
          <t>核心</t>
        </is>
      </c>
      <c r="I47" s="21" t="inlineStr">
        <is>
          <t>金价突破前高</t>
        </is>
      </c>
      <c r="J47" s="21" t="n">
        <v>33</v>
      </c>
      <c r="K47" s="21" t="inlineStr">
        <is>
          <t>30.00</t>
        </is>
      </c>
      <c r="L47" s="27" t="inlineStr">
        <is>
          <t>中</t>
        </is>
      </c>
    </row>
    <row r="48" ht="32" customHeight="1">
      <c r="A48" s="33" t="inlineStr">
        <is>
          <t>12月</t>
        </is>
      </c>
      <c r="B48" s="24" t="inlineStr">
        <is>
          <t>601212</t>
        </is>
      </c>
      <c r="C48" s="24" t="inlineStr">
        <is>
          <t>白银有色</t>
        </is>
      </c>
      <c r="D48" s="24" t="inlineStr">
        <is>
          <t>白银</t>
        </is>
      </c>
      <c r="E48" s="24" t="inlineStr">
        <is>
          <t>满仓持有</t>
        </is>
      </c>
      <c r="F48" s="24" t="inlineStr">
        <is>
          <t>5%</t>
        </is>
      </c>
      <c r="G48" s="24" t="inlineStr">
        <is>
          <t>Ag&lt;60</t>
        </is>
      </c>
      <c r="H48" s="22" t="inlineStr">
        <is>
          <t>核心</t>
        </is>
      </c>
      <c r="I48" s="24" t="inlineStr">
        <is>
          <t>工业+金融双属性</t>
        </is>
      </c>
      <c r="J48" s="24" t="n">
        <v>4</v>
      </c>
      <c r="K48" s="24" t="inlineStr">
        <is>
          <t>3.50</t>
        </is>
      </c>
      <c r="L48" s="27" t="inlineStr">
        <is>
          <t>中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30" customWidth="1" min="9" max="9"/>
    <col width="20" customWidth="1" min="10" max="10"/>
  </cols>
  <sheetData>
    <row r="1" ht="32" customHeight="1">
      <c r="A1" s="34" t="inlineStr">
        <is>
          <t>风险因素调整表 — 根据风险因子变化自动调整买点、仓位、止损线</t>
        </is>
      </c>
    </row>
    <row r="2">
      <c r="A2" s="18" t="inlineStr">
        <is>
          <t>调整规则：当触发条件满足时，根据下方公式自动计算新参数 | 基准价采用2026年8月2日数据</t>
        </is>
      </c>
    </row>
    <row r="4" ht="28" customHeight="1">
      <c r="A4" s="19" t="inlineStr">
        <is>
          <t>风险因子</t>
        </is>
      </c>
      <c r="B4" s="19" t="inlineStr">
        <is>
          <t>触发条件</t>
        </is>
      </c>
      <c r="C4" s="19" t="inlineStr">
        <is>
          <t>基准价</t>
        </is>
      </c>
      <c r="D4" s="19" t="inlineStr">
        <is>
          <t>调整后买点</t>
        </is>
      </c>
      <c r="E4" s="19" t="inlineStr">
        <is>
          <t>基准仓位</t>
        </is>
      </c>
      <c r="F4" s="19" t="inlineStr">
        <is>
          <t>调整后仓位</t>
        </is>
      </c>
      <c r="G4" s="19" t="inlineStr">
        <is>
          <t>基准止损</t>
        </is>
      </c>
      <c r="H4" s="19" t="inlineStr">
        <is>
          <t>调整后止损</t>
        </is>
      </c>
      <c r="I4" s="19" t="inlineStr">
        <is>
          <t>调整逻辑</t>
        </is>
      </c>
      <c r="J4" s="19" t="inlineStr">
        <is>
          <t>备注</t>
        </is>
      </c>
    </row>
    <row r="5" ht="30" customHeight="1">
      <c r="A5" s="35" t="inlineStr">
        <is>
          <t>Brent油价</t>
        </is>
      </c>
      <c r="B5" s="36" t="inlineStr">
        <is>
          <t>Brent &lt; 85</t>
        </is>
      </c>
      <c r="C5" s="21" t="n">
        <v>85</v>
      </c>
      <c r="D5" s="21">
        <f>C5*0.95</f>
        <v/>
      </c>
      <c r="E5" s="21" t="inlineStr">
        <is>
          <t>8%</t>
        </is>
      </c>
      <c r="F5" s="21">
        <f>E5*0.7</f>
        <v/>
      </c>
      <c r="G5" s="21" t="inlineStr">
        <is>
          <t>Brent&lt;85</t>
        </is>
      </c>
      <c r="H5" s="21">
        <f>G5</f>
        <v/>
      </c>
      <c r="I5" s="21" t="inlineStr">
        <is>
          <t>油价跌破85，买点下调5%，仓位减至70%</t>
        </is>
      </c>
      <c r="J5" s="21" t="inlineStr">
        <is>
          <t>7月止损触发线</t>
        </is>
      </c>
    </row>
    <row r="6" ht="30" customHeight="1">
      <c r="A6" s="37" t="inlineStr">
        <is>
          <t>Brent油价</t>
        </is>
      </c>
      <c r="B6" s="38" t="inlineStr">
        <is>
          <t>Brent 85-95</t>
        </is>
      </c>
      <c r="C6" s="24" t="n">
        <v>90</v>
      </c>
      <c r="D6" s="24">
        <f>C6*1.00</f>
        <v/>
      </c>
      <c r="E6" s="24" t="inlineStr">
        <is>
          <t>8%</t>
        </is>
      </c>
      <c r="F6" s="24">
        <f>E6*1.0</f>
        <v/>
      </c>
      <c r="G6" s="24" t="inlineStr">
        <is>
          <t>Brent&lt;85</t>
        </is>
      </c>
      <c r="H6" s="24">
        <f>G6</f>
        <v/>
      </c>
      <c r="I6" s="24" t="inlineStr">
        <is>
          <t>油价震荡区间，按原计划执行</t>
        </is>
      </c>
      <c r="J6" s="24" t="inlineStr">
        <is>
          <t>正常区间</t>
        </is>
      </c>
    </row>
    <row r="7" ht="30" customHeight="1">
      <c r="A7" s="35" t="inlineStr">
        <is>
          <t>Brent油价</t>
        </is>
      </c>
      <c r="B7" s="36" t="inlineStr">
        <is>
          <t>Brent 95-105</t>
        </is>
      </c>
      <c r="C7" s="21" t="n">
        <v>100</v>
      </c>
      <c r="D7" s="21">
        <f>C7*1.05</f>
        <v/>
      </c>
      <c r="E7" s="21" t="inlineStr">
        <is>
          <t>8%</t>
        </is>
      </c>
      <c r="F7" s="21">
        <f>E7*1.3</f>
        <v/>
      </c>
      <c r="G7" s="21" t="inlineStr">
        <is>
          <t>Brent&lt;90</t>
        </is>
      </c>
      <c r="H7" s="21">
        <f>G7</f>
        <v/>
      </c>
      <c r="I7" s="21" t="inlineStr">
        <is>
          <t>油价确认突破，买点上调5%，仓位加至130%</t>
        </is>
      </c>
      <c r="J7" s="21" t="inlineStr">
        <is>
          <t>8月加仓信号</t>
        </is>
      </c>
    </row>
    <row r="8" ht="30" customHeight="1">
      <c r="A8" s="37" t="inlineStr">
        <is>
          <t>Brent油价</t>
        </is>
      </c>
      <c r="B8" s="38" t="inlineStr">
        <is>
          <t>Brent 105-120</t>
        </is>
      </c>
      <c r="C8" s="24" t="n">
        <v>110</v>
      </c>
      <c r="D8" s="24">
        <f>C8*1.10</f>
        <v/>
      </c>
      <c r="E8" s="24" t="inlineStr">
        <is>
          <t>8%</t>
        </is>
      </c>
      <c r="F8" s="24">
        <f>E8*1.5</f>
        <v/>
      </c>
      <c r="G8" s="24" t="inlineStr">
        <is>
          <t>Brent&lt;100</t>
        </is>
      </c>
      <c r="H8" s="24">
        <f>G8</f>
        <v/>
      </c>
      <c r="I8" s="24" t="inlineStr">
        <is>
          <t>油价加速，买点上调10%，仓位加至150%</t>
        </is>
      </c>
      <c r="J8" s="24" t="inlineStr">
        <is>
          <t>9月冲刺信号</t>
        </is>
      </c>
    </row>
    <row r="9" ht="30" customHeight="1">
      <c r="A9" s="35" t="inlineStr">
        <is>
          <t>Brent油价</t>
        </is>
      </c>
      <c r="B9" s="36" t="inlineStr">
        <is>
          <t>Brent &gt; 120</t>
        </is>
      </c>
      <c r="C9" s="21" t="n">
        <v>130</v>
      </c>
      <c r="D9" s="21">
        <f>C9*1.15</f>
        <v/>
      </c>
      <c r="E9" s="21" t="inlineStr">
        <is>
          <t>8%</t>
        </is>
      </c>
      <c r="F9" s="21">
        <f>E9*1.5</f>
        <v/>
      </c>
      <c r="G9" s="21" t="inlineStr">
        <is>
          <t>Brent&lt;110</t>
        </is>
      </c>
      <c r="H9" s="21">
        <f>G9</f>
        <v/>
      </c>
      <c r="I9" s="21" t="inlineStr">
        <is>
          <t>油价进入高波区间，买点上调15%</t>
        </is>
      </c>
      <c r="J9" s="21" t="inlineStr">
        <is>
          <t>150目标区</t>
        </is>
      </c>
    </row>
    <row r="10" ht="30" customHeight="1">
      <c r="A10" s="37" t="inlineStr">
        <is>
          <t>Brent油价</t>
        </is>
      </c>
      <c r="B10" s="38" t="inlineStr">
        <is>
          <t>Brent &lt; 80 (回调)</t>
        </is>
      </c>
      <c r="C10" s="24" t="n">
        <v>75</v>
      </c>
      <c r="D10" s="24">
        <f>C10*0.90</f>
        <v/>
      </c>
      <c r="E10" s="24" t="inlineStr">
        <is>
          <t>8%</t>
        </is>
      </c>
      <c r="F10" s="24">
        <f>E10*1.8</f>
        <v/>
      </c>
      <c r="G10" s="24" t="inlineStr">
        <is>
          <t>Brent&lt;70</t>
        </is>
      </c>
      <c r="H10" s="24">
        <f>G10</f>
        <v/>
      </c>
      <c r="I10" s="24" t="inlineStr">
        <is>
          <t>回调最佳买入窗口，买点下调10%，仓位加至180%</t>
        </is>
      </c>
      <c r="J10" s="24" t="inlineStr">
        <is>
          <t>10-11月回补</t>
        </is>
      </c>
    </row>
    <row r="11" ht="30" customHeight="1">
      <c r="A11" s="35" t="inlineStr">
        <is>
          <t>铜价</t>
        </is>
      </c>
      <c r="B11" s="36" t="inlineStr">
        <is>
          <t>铜 &lt; 6.0</t>
        </is>
      </c>
      <c r="C11" s="21" t="n">
        <v>5.8</v>
      </c>
      <c r="D11" s="21">
        <f>C11*0.95</f>
        <v/>
      </c>
      <c r="E11" s="21" t="inlineStr">
        <is>
          <t>4%</t>
        </is>
      </c>
      <c r="F11" s="21">
        <f>E11*0.7</f>
        <v/>
      </c>
      <c r="G11" s="21" t="inlineStr">
        <is>
          <t>铜&lt;5.8</t>
        </is>
      </c>
      <c r="H11" s="21">
        <f>G11</f>
        <v/>
      </c>
      <c r="I11" s="21" t="inlineStr">
        <is>
          <t>铜价跌破6.0，买点下调5%</t>
        </is>
      </c>
      <c r="J11" s="21" t="inlineStr">
        <is>
          <t>工业金属止损</t>
        </is>
      </c>
    </row>
    <row r="12" ht="30" customHeight="1">
      <c r="A12" s="37" t="inlineStr">
        <is>
          <t>铜价</t>
        </is>
      </c>
      <c r="B12" s="38" t="inlineStr">
        <is>
          <t>铜 6.0-6.5</t>
        </is>
      </c>
      <c r="C12" s="24" t="n">
        <v>6.2</v>
      </c>
      <c r="D12" s="24">
        <f>C12*1.00</f>
        <v/>
      </c>
      <c r="E12" s="24" t="inlineStr">
        <is>
          <t>4%</t>
        </is>
      </c>
      <c r="F12" s="24">
        <f>E12*1.0</f>
        <v/>
      </c>
      <c r="G12" s="24" t="inlineStr">
        <is>
          <t>铜&lt;6.0</t>
        </is>
      </c>
      <c r="H12" s="24">
        <f>G12</f>
        <v/>
      </c>
      <c r="I12" s="24" t="inlineStr">
        <is>
          <t>铜价正常震荡</t>
        </is>
      </c>
      <c r="J12" s="24" t="inlineStr">
        <is>
          <t>正常区间</t>
        </is>
      </c>
    </row>
    <row r="13" ht="30" customHeight="1">
      <c r="A13" s="35" t="inlineStr">
        <is>
          <t>铜价</t>
        </is>
      </c>
      <c r="B13" s="36" t="inlineStr">
        <is>
          <t>铜 6.5-7.0</t>
        </is>
      </c>
      <c r="C13" s="21" t="n">
        <v>6.8</v>
      </c>
      <c r="D13" s="21">
        <f>C13*1.05</f>
        <v/>
      </c>
      <c r="E13" s="21" t="inlineStr">
        <is>
          <t>4%</t>
        </is>
      </c>
      <c r="F13" s="21">
        <f>E13*1.3</f>
        <v/>
      </c>
      <c r="G13" s="21" t="inlineStr">
        <is>
          <t>铜&lt;6.2</t>
        </is>
      </c>
      <c r="H13" s="21">
        <f>G13</f>
        <v/>
      </c>
      <c r="I13" s="21" t="inlineStr">
        <is>
          <t>铜价突破确认，加仓30%</t>
        </is>
      </c>
      <c r="J13" s="21" t="inlineStr">
        <is>
          <t>8月加仓信号</t>
        </is>
      </c>
    </row>
    <row r="14" ht="30" customHeight="1">
      <c r="A14" s="37" t="inlineStr">
        <is>
          <t>铜价</t>
        </is>
      </c>
      <c r="B14" s="38" t="inlineStr">
        <is>
          <t>铜 &gt; 7.0</t>
        </is>
      </c>
      <c r="C14" s="24" t="n">
        <v>7.2</v>
      </c>
      <c r="D14" s="24">
        <f>C14*1.10</f>
        <v/>
      </c>
      <c r="E14" s="24" t="inlineStr">
        <is>
          <t>4%</t>
        </is>
      </c>
      <c r="F14" s="24">
        <f>E14*1.5</f>
        <v/>
      </c>
      <c r="G14" s="24" t="inlineStr">
        <is>
          <t>铜&lt;6.5</t>
        </is>
      </c>
      <c r="H14" s="24">
        <f>G14</f>
        <v/>
      </c>
      <c r="I14" s="24" t="inlineStr">
        <is>
          <t>铜价加速，满仓持有</t>
        </is>
      </c>
      <c r="J14" s="24" t="inlineStr">
        <is>
          <t>战略补库</t>
        </is>
      </c>
    </row>
    <row r="15" ht="30" customHeight="1">
      <c r="A15" s="35" t="inlineStr">
        <is>
          <t>铝价</t>
        </is>
      </c>
      <c r="B15" s="36" t="inlineStr">
        <is>
          <t>铝 &lt; 3200</t>
        </is>
      </c>
      <c r="C15" s="21" t="n">
        <v>3100</v>
      </c>
      <c r="D15" s="21">
        <f>C15*0.95</f>
        <v/>
      </c>
      <c r="E15" s="21" t="inlineStr">
        <is>
          <t>3%</t>
        </is>
      </c>
      <c r="F15" s="21">
        <f>E15*0.7</f>
        <v/>
      </c>
      <c r="G15" s="21" t="inlineStr">
        <is>
          <t>铝&lt;3100</t>
        </is>
      </c>
      <c r="H15" s="21">
        <f>G15</f>
        <v/>
      </c>
      <c r="I15" s="21" t="inlineStr">
        <is>
          <t>铝价跌破3200，保守操作</t>
        </is>
      </c>
      <c r="J15" s="21" t="inlineStr">
        <is>
          <t>止损线附近</t>
        </is>
      </c>
    </row>
    <row r="16" ht="30" customHeight="1">
      <c r="A16" s="37" t="inlineStr">
        <is>
          <t>铝价</t>
        </is>
      </c>
      <c r="B16" s="38" t="inlineStr">
        <is>
          <t>铝 3200-3500</t>
        </is>
      </c>
      <c r="C16" s="24" t="n">
        <v>3350</v>
      </c>
      <c r="D16" s="24">
        <f>C16*1.00</f>
        <v/>
      </c>
      <c r="E16" s="24" t="inlineStr">
        <is>
          <t>3%</t>
        </is>
      </c>
      <c r="F16" s="24">
        <f>E16*1.0</f>
        <v/>
      </c>
      <c r="G16" s="24" t="inlineStr">
        <is>
          <t>铝&lt;3200</t>
        </is>
      </c>
      <c r="H16" s="24">
        <f>G16</f>
        <v/>
      </c>
      <c r="I16" s="24" t="inlineStr">
        <is>
          <t>铝价正常区间</t>
        </is>
      </c>
      <c r="J16" s="24" t="inlineStr">
        <is>
          <t>正常操作</t>
        </is>
      </c>
    </row>
    <row r="17" ht="30" customHeight="1">
      <c r="A17" s="35" t="inlineStr">
        <is>
          <t>铝价</t>
        </is>
      </c>
      <c r="B17" s="36" t="inlineStr">
        <is>
          <t>铝 3500-3800</t>
        </is>
      </c>
      <c r="C17" s="21" t="n">
        <v>3650</v>
      </c>
      <c r="D17" s="21">
        <f>C17*1.05</f>
        <v/>
      </c>
      <c r="E17" s="21" t="inlineStr">
        <is>
          <t>3%</t>
        </is>
      </c>
      <c r="F17" s="21">
        <f>E17*1.3</f>
        <v/>
      </c>
      <c r="G17" s="21" t="inlineStr">
        <is>
          <t>铝&lt;3300</t>
        </is>
      </c>
      <c r="H17" s="21">
        <f>G17</f>
        <v/>
      </c>
      <c r="I17" s="21" t="inlineStr">
        <is>
          <t>成本传导启动，加仓30%</t>
        </is>
      </c>
      <c r="J17" s="21" t="inlineStr">
        <is>
          <t>电费涨价</t>
        </is>
      </c>
    </row>
    <row r="18" ht="30" customHeight="1">
      <c r="A18" s="37" t="inlineStr">
        <is>
          <t>铝价</t>
        </is>
      </c>
      <c r="B18" s="38" t="inlineStr">
        <is>
          <t>铝 &gt; 3800</t>
        </is>
      </c>
      <c r="C18" s="24" t="n">
        <v>4000</v>
      </c>
      <c r="D18" s="24">
        <f>C18*1.10</f>
        <v/>
      </c>
      <c r="E18" s="24" t="inlineStr">
        <is>
          <t>3%</t>
        </is>
      </c>
      <c r="F18" s="24">
        <f>E18*1.5</f>
        <v/>
      </c>
      <c r="G18" s="24" t="inlineStr">
        <is>
          <t>铝&lt;3500</t>
        </is>
      </c>
      <c r="H18" s="24">
        <f>G18</f>
        <v/>
      </c>
      <c r="I18" s="24" t="inlineStr">
        <is>
          <t>输入型通胀扩散，满仓</t>
        </is>
      </c>
      <c r="J18" s="24" t="inlineStr">
        <is>
          <t>高通胀区间</t>
        </is>
      </c>
    </row>
    <row r="19" ht="30" customHeight="1">
      <c r="A19" s="35" t="inlineStr">
        <is>
          <t>金价(AU9999)</t>
        </is>
      </c>
      <c r="B19" s="36" t="inlineStr">
        <is>
          <t>AU &lt; 3800</t>
        </is>
      </c>
      <c r="C19" s="21" t="n">
        <v>3700</v>
      </c>
      <c r="D19" s="21">
        <f>C19*0.97</f>
        <v/>
      </c>
      <c r="E19" s="21" t="inlineStr">
        <is>
          <t>5%</t>
        </is>
      </c>
      <c r="F19" s="21">
        <f>E19*0.8</f>
        <v/>
      </c>
      <c r="G19" s="21" t="inlineStr">
        <is>
          <t>AU&lt;3700</t>
        </is>
      </c>
      <c r="H19" s="21">
        <f>G19</f>
        <v/>
      </c>
      <c r="I19" s="21" t="inlineStr">
        <is>
          <t>金价回调，保守加仓</t>
        </is>
      </c>
      <c r="J19" s="21" t="inlineStr">
        <is>
          <t>7月买入区</t>
        </is>
      </c>
    </row>
    <row r="20" ht="30" customHeight="1">
      <c r="A20" s="37" t="inlineStr">
        <is>
          <t>金价(AU9999)</t>
        </is>
      </c>
      <c r="B20" s="38" t="inlineStr">
        <is>
          <t>AU 3800-4000</t>
        </is>
      </c>
      <c r="C20" s="24" t="n">
        <v>3900</v>
      </c>
      <c r="D20" s="24">
        <f>C20*1.00</f>
        <v/>
      </c>
      <c r="E20" s="24" t="inlineStr">
        <is>
          <t>5%</t>
        </is>
      </c>
      <c r="F20" s="24">
        <f>E20*1.0</f>
        <v/>
      </c>
      <c r="G20" s="24" t="inlineStr">
        <is>
          <t>AU&lt;3800</t>
        </is>
      </c>
      <c r="H20" s="24">
        <f>G20</f>
        <v/>
      </c>
      <c r="I20" s="24" t="inlineStr">
        <is>
          <t>金价震荡区间</t>
        </is>
      </c>
      <c r="J20" s="24" t="inlineStr">
        <is>
          <t>正常操作</t>
        </is>
      </c>
    </row>
    <row r="21" ht="30" customHeight="1">
      <c r="A21" s="35" t="inlineStr">
        <is>
          <t>金价(AU9999)</t>
        </is>
      </c>
      <c r="B21" s="36" t="inlineStr">
        <is>
          <t>AU 4000-4200</t>
        </is>
      </c>
      <c r="C21" s="21" t="n">
        <v>4100</v>
      </c>
      <c r="D21" s="21">
        <f>C21*1.03</f>
        <v/>
      </c>
      <c r="E21" s="21" t="inlineStr">
        <is>
          <t>5%</t>
        </is>
      </c>
      <c r="F21" s="21">
        <f>E21*0.9</f>
        <v/>
      </c>
      <c r="G21" s="21" t="inlineStr">
        <is>
          <t>AU&lt;3900</t>
        </is>
      </c>
      <c r="H21" s="21">
        <f>G21</f>
        <v/>
      </c>
      <c r="I21" s="21" t="inlineStr">
        <is>
          <t>金价高位震荡，减仓保现金</t>
        </is>
      </c>
      <c r="J21" s="21" t="inlineStr">
        <is>
          <t>9月减仓信号</t>
        </is>
      </c>
    </row>
    <row r="22" ht="30" customHeight="1">
      <c r="A22" s="37" t="inlineStr">
        <is>
          <t>金价(AU9999)</t>
        </is>
      </c>
      <c r="B22" s="38" t="inlineStr">
        <is>
          <t>AU 4200-4500</t>
        </is>
      </c>
      <c r="C22" s="24" t="n">
        <v>4300</v>
      </c>
      <c r="D22" s="24">
        <f>C22*1.05</f>
        <v/>
      </c>
      <c r="E22" s="24" t="inlineStr">
        <is>
          <t>5%</t>
        </is>
      </c>
      <c r="F22" s="24">
        <f>E22*1.0</f>
        <v/>
      </c>
      <c r="G22" s="24" t="inlineStr">
        <is>
          <t>AU&lt;4000</t>
        </is>
      </c>
      <c r="H22" s="24">
        <f>G22</f>
        <v/>
      </c>
      <c r="I22" s="24" t="inlineStr">
        <is>
          <t>金价突破前高，重新加仓</t>
        </is>
      </c>
      <c r="J22" s="24" t="inlineStr">
        <is>
          <t>12月加仓</t>
        </is>
      </c>
    </row>
    <row r="23" ht="30" customHeight="1">
      <c r="A23" s="35" t="inlineStr">
        <is>
          <t>金价(AU9999)</t>
        </is>
      </c>
      <c r="B23" s="36" t="inlineStr">
        <is>
          <t>AU &gt; 4500</t>
        </is>
      </c>
      <c r="C23" s="21" t="n">
        <v>4600</v>
      </c>
      <c r="D23" s="21">
        <f>C23*1.08</f>
        <v/>
      </c>
      <c r="E23" s="21" t="inlineStr">
        <is>
          <t>5%</t>
        </is>
      </c>
      <c r="F23" s="21">
        <f>E23*1.2</f>
        <v/>
      </c>
      <c r="G23" s="21" t="inlineStr">
        <is>
          <t>AU&lt;4200</t>
        </is>
      </c>
      <c r="H23" s="21">
        <f>G23</f>
        <v/>
      </c>
      <c r="I23" s="21" t="inlineStr">
        <is>
          <t>金价进入疯牛，仓位120%</t>
        </is>
      </c>
      <c r="J23" s="21" t="inlineStr">
        <is>
          <t>突破信号</t>
        </is>
      </c>
    </row>
    <row r="24" ht="30" customHeight="1">
      <c r="A24" s="37" t="inlineStr">
        <is>
          <t>金价(AU9999)</t>
        </is>
      </c>
      <c r="B24" s="38" t="inlineStr">
        <is>
          <t>AU &lt; 3700 (回调)</t>
        </is>
      </c>
      <c r="C24" s="24" t="n">
        <v>3600</v>
      </c>
      <c r="D24" s="24">
        <f>C24*0.95</f>
        <v/>
      </c>
      <c r="E24" s="24" t="inlineStr">
        <is>
          <t>5%</t>
        </is>
      </c>
      <c r="F24" s="24">
        <f>E24*1.5</f>
        <v/>
      </c>
      <c r="G24" s="24" t="inlineStr">
        <is>
          <t>AU&lt;3500</t>
        </is>
      </c>
      <c r="H24" s="24">
        <f>G24</f>
        <v/>
      </c>
      <c r="I24" s="24" t="inlineStr">
        <is>
          <t>向心坍缩买入，仓位150%</t>
        </is>
      </c>
      <c r="J24" s="24" t="inlineStr">
        <is>
          <t>10-11月最佳</t>
        </is>
      </c>
    </row>
    <row r="25" ht="30" customHeight="1">
      <c r="A25" s="35" t="inlineStr">
        <is>
          <t>美债投标倍数</t>
        </is>
      </c>
      <c r="B25" s="36" t="inlineStr">
        <is>
          <t>倍数 &lt; 2.0x</t>
        </is>
      </c>
      <c r="C25" s="21" t="n">
        <v>1.8</v>
      </c>
      <c r="D25" s="21">
        <f>C25*0.95</f>
        <v/>
      </c>
      <c r="E25" s="21" t="inlineStr">
        <is>
          <t>全仓</t>
        </is>
      </c>
      <c r="F25" s="21">
        <f>E25</f>
        <v/>
      </c>
      <c r="G25" s="21" t="inlineStr">
        <is>
          <t>倍数&lt;1.5x</t>
        </is>
      </c>
      <c r="H25" s="21">
        <f>G25</f>
        <v/>
      </c>
      <c r="I25" s="21" t="inlineStr">
        <is>
          <t>美债需求弱，避险买金</t>
        </is>
      </c>
      <c r="J25" s="21" t="inlineStr">
        <is>
          <t>通胀第二梯队</t>
        </is>
      </c>
    </row>
    <row r="26" ht="30" customHeight="1">
      <c r="A26" s="37" t="inlineStr">
        <is>
          <t>美债投标倍数</t>
        </is>
      </c>
      <c r="B26" s="38" t="inlineStr">
        <is>
          <t>倍数 2.0-2.5x</t>
        </is>
      </c>
      <c r="C26" s="24" t="n">
        <v>2.2</v>
      </c>
      <c r="D26" s="24">
        <f>C26*1.00</f>
        <v/>
      </c>
      <c r="E26" s="24" t="inlineStr">
        <is>
          <t>全仓</t>
        </is>
      </c>
      <c r="F26" s="24">
        <f>E26</f>
        <v/>
      </c>
      <c r="G26" s="24" t="inlineStr">
        <is>
          <t>倍数&lt;2.0x</t>
        </is>
      </c>
      <c r="H26" s="24">
        <f>G26</f>
        <v/>
      </c>
      <c r="I26" s="24" t="inlineStr">
        <is>
          <t>正常需求区间</t>
        </is>
      </c>
      <c r="J26" s="24" t="inlineStr">
        <is>
          <t>正常操作</t>
        </is>
      </c>
    </row>
    <row r="27" ht="30" customHeight="1">
      <c r="A27" s="35" t="inlineStr">
        <is>
          <t>美债投标倍数</t>
        </is>
      </c>
      <c r="B27" s="36" t="inlineStr">
        <is>
          <t>倍数 2.5-3.0x</t>
        </is>
      </c>
      <c r="C27" s="21" t="n">
        <v>2.8</v>
      </c>
      <c r="D27" s="21">
        <f>C27*1.05</f>
        <v/>
      </c>
      <c r="E27" s="21" t="inlineStr">
        <is>
          <t>全仓</t>
        </is>
      </c>
      <c r="F27" s="21">
        <f>E27</f>
        <v/>
      </c>
      <c r="G27" s="21" t="inlineStr">
        <is>
          <t>倍数&lt;2.0x</t>
        </is>
      </c>
      <c r="H27" s="21">
        <f>G27</f>
        <v/>
      </c>
      <c r="I27" s="21" t="inlineStr">
        <is>
          <t>需求强劲，确认趋势</t>
        </is>
      </c>
      <c r="J27" s="21" t="inlineStr">
        <is>
          <t>8月加仓</t>
        </is>
      </c>
    </row>
    <row r="28" ht="30" customHeight="1">
      <c r="A28" s="37" t="inlineStr">
        <is>
          <t>美债投标倍数</t>
        </is>
      </c>
      <c r="B28" s="38" t="inlineStr">
        <is>
          <t>倍数 &gt; 3.0x</t>
        </is>
      </c>
      <c r="C28" s="24" t="n">
        <v>3.2</v>
      </c>
      <c r="D28" s="24">
        <f>C28*1.10</f>
        <v/>
      </c>
      <c r="E28" s="24" t="inlineStr">
        <is>
          <t>全仓</t>
        </is>
      </c>
      <c r="F28" s="24">
        <f>E28</f>
        <v/>
      </c>
      <c r="G28" s="24" t="inlineStr">
        <is>
          <t>倍数&lt;2.5x</t>
        </is>
      </c>
      <c r="H28" s="24">
        <f>G28</f>
        <v/>
      </c>
      <c r="I28" s="24" t="inlineStr">
        <is>
          <t>极端需求，满仓冲刺</t>
        </is>
      </c>
      <c r="J28" s="24" t="inlineStr">
        <is>
          <t>9月冲刺</t>
        </is>
      </c>
    </row>
    <row r="29" ht="30" customHeight="1">
      <c r="A29" s="35" t="inlineStr">
        <is>
          <t>美元/离岸</t>
        </is>
      </c>
      <c r="B29" s="36" t="inlineStr">
        <is>
          <t>汇率 &gt; 7.45</t>
        </is>
      </c>
      <c r="C29" s="21" t="n">
        <v>7.5</v>
      </c>
      <c r="D29" s="21">
        <f>C29*0.95</f>
        <v/>
      </c>
      <c r="E29" s="21" t="inlineStr">
        <is>
          <t>全仓</t>
        </is>
      </c>
      <c r="F29" s="21">
        <f>E29*0.8</f>
        <v/>
      </c>
      <c r="G29" s="21" t="inlineStr">
        <is>
          <t>汇率&gt;7.50</t>
        </is>
      </c>
      <c r="H29" s="21">
        <f>G29</f>
        <v/>
      </c>
      <c r="I29" s="21" t="inlineStr">
        <is>
          <t>美元过强，减仓避险</t>
        </is>
      </c>
      <c r="J29" s="21" t="inlineStr">
        <is>
          <t>流动性紧缩</t>
        </is>
      </c>
    </row>
    <row r="30" ht="30" customHeight="1">
      <c r="A30" s="37" t="inlineStr">
        <is>
          <t>美元/离岸</t>
        </is>
      </c>
      <c r="B30" s="38" t="inlineStr">
        <is>
          <t>汇率 7.35-7.45</t>
        </is>
      </c>
      <c r="C30" s="24" t="n">
        <v>7.4</v>
      </c>
      <c r="D30" s="24">
        <f>C30*1.00</f>
        <v/>
      </c>
      <c r="E30" s="24" t="inlineStr">
        <is>
          <t>全仓</t>
        </is>
      </c>
      <c r="F30" s="24">
        <f>E30*1.0</f>
        <v/>
      </c>
      <c r="G30" s="24" t="inlineStr">
        <is>
          <t>汇率&gt;7.45</t>
        </is>
      </c>
      <c r="H30" s="24">
        <f>G30</f>
        <v/>
      </c>
      <c r="I30" s="24" t="inlineStr">
        <is>
          <t>正常区间</t>
        </is>
      </c>
      <c r="J30" s="24" t="inlineStr">
        <is>
          <t>正常操作</t>
        </is>
      </c>
    </row>
    <row r="31" ht="30" customHeight="1">
      <c r="A31" s="35" t="inlineStr">
        <is>
          <t>美元/离岸</t>
        </is>
      </c>
      <c r="B31" s="36" t="inlineStr">
        <is>
          <t>汇率 7.25-7.35</t>
        </is>
      </c>
      <c r="C31" s="21" t="n">
        <v>7.3</v>
      </c>
      <c r="D31" s="21">
        <f>C31*1.03</f>
        <v/>
      </c>
      <c r="E31" s="21" t="inlineStr">
        <is>
          <t>全仓</t>
        </is>
      </c>
      <c r="F31" s="21">
        <f>E31*1.1</f>
        <v/>
      </c>
      <c r="G31" s="21" t="inlineStr">
        <is>
          <t>汇率&gt;7.40</t>
        </is>
      </c>
      <c r="H31" s="21">
        <f>G31</f>
        <v/>
      </c>
      <c r="I31" s="21" t="inlineStr">
        <is>
          <t>美元走弱，加仓10%</t>
        </is>
      </c>
      <c r="J31" s="21" t="inlineStr">
        <is>
          <t>放水信号</t>
        </is>
      </c>
    </row>
    <row r="32" ht="30" customHeight="1">
      <c r="A32" s="37" t="inlineStr">
        <is>
          <t>美元/离岸</t>
        </is>
      </c>
      <c r="B32" s="38" t="inlineStr">
        <is>
          <t>汇率 &lt; 7.25</t>
        </is>
      </c>
      <c r="C32" s="24" t="n">
        <v>7.2</v>
      </c>
      <c r="D32" s="24">
        <f>C32*1.05</f>
        <v/>
      </c>
      <c r="E32" s="24" t="inlineStr">
        <is>
          <t>全仓</t>
        </is>
      </c>
      <c r="F32" s="24">
        <f>E32*1.2</f>
        <v/>
      </c>
      <c r="G32" s="24" t="inlineStr">
        <is>
          <t>汇率&gt;7.35</t>
        </is>
      </c>
      <c r="H32" s="24">
        <f>G32</f>
        <v/>
      </c>
      <c r="I32" s="24" t="inlineStr">
        <is>
          <t>美元大幅走弱，加仓20%</t>
        </is>
      </c>
      <c r="J32" s="24" t="inlineStr">
        <is>
          <t>圣诞放水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0" customWidth="1" min="4" max="4"/>
    <col width="12" customWidth="1" min="5" max="5"/>
    <col width="30" customWidth="1" min="6" max="6"/>
  </cols>
  <sheetData>
    <row r="1" ht="32" customHeight="1">
      <c r="A1" s="39" t="inlineStr">
        <is>
          <t>⚠ 破坏变量监测表 — 可能导致主逻辑失效的黑天鹅</t>
        </is>
      </c>
    </row>
    <row r="3" ht="28" customHeight="1">
      <c r="A3" s="19" t="inlineStr">
        <is>
          <t>破坏变量</t>
        </is>
      </c>
      <c r="B3" s="19" t="inlineStr">
        <is>
          <t>触发条件</t>
        </is>
      </c>
      <c r="C3" s="19" t="inlineStr">
        <is>
          <t>预期冲击</t>
        </is>
      </c>
      <c r="D3" s="19" t="inlineStr">
        <is>
          <t>概率</t>
        </is>
      </c>
      <c r="E3" s="19" t="inlineStr">
        <is>
          <t>影响等级</t>
        </is>
      </c>
      <c r="F3" s="19" t="inlineStr">
        <is>
          <t>应对策略</t>
        </is>
      </c>
    </row>
    <row r="4" ht="36" customHeight="1">
      <c r="A4" s="40" t="inlineStr">
        <is>
          <t>霍尔木兹通航</t>
        </is>
      </c>
      <c r="B4" s="24" t="inlineStr">
        <is>
          <t>伊朗允许自由通行</t>
        </is>
      </c>
      <c r="C4" s="24" t="inlineStr">
        <is>
          <t>Brent跌回$70以下，所有原油逻辑失效</t>
        </is>
      </c>
      <c r="D4" s="37" t="inlineStr">
        <is>
          <t>低</t>
        </is>
      </c>
      <c r="E4" s="32" t="inlineStr">
        <is>
          <t>灾难</t>
        </is>
      </c>
      <c r="F4" s="24" t="inlineStr">
        <is>
          <t>立即清仓原油，转现金+黄金</t>
        </is>
      </c>
    </row>
    <row r="5" ht="36" customHeight="1">
      <c r="A5" s="41" t="inlineStr">
        <is>
          <t>美联储意外降息</t>
        </is>
      </c>
      <c r="B5" s="21" t="inlineStr">
        <is>
          <t>提前启动宽松周期</t>
        </is>
      </c>
      <c r="C5" s="21" t="inlineStr">
        <is>
          <t>美元走弱但黄金先涨后跌，通胀路径改变</t>
        </is>
      </c>
      <c r="D5" s="35" t="inlineStr">
        <is>
          <t>低</t>
        </is>
      </c>
      <c r="E5" s="29" t="inlineStr">
        <is>
          <t>重大</t>
        </is>
      </c>
      <c r="F5" s="21" t="inlineStr">
        <is>
          <t>减仓50%，等待方向确认</t>
        </is>
      </c>
    </row>
    <row r="6" ht="36" customHeight="1">
      <c r="A6" s="40" t="inlineStr">
        <is>
          <t>中国CPI突破3%</t>
        </is>
      </c>
      <c r="B6" s="24" t="inlineStr">
        <is>
          <t>国内通胀失控</t>
        </is>
      </c>
      <c r="C6" s="24" t="inlineStr">
        <is>
          <t>进入通胀第二梯队，政策被迫收紧</t>
        </is>
      </c>
      <c r="D6" s="42" t="inlineStr">
        <is>
          <t>中</t>
        </is>
      </c>
      <c r="E6" s="29" t="inlineStr">
        <is>
          <t>重大</t>
        </is>
      </c>
      <c r="F6" s="24" t="inlineStr">
        <is>
          <t>减少权益仓位，增配黄金+国债</t>
        </is>
      </c>
    </row>
    <row r="7" ht="36" customHeight="1">
      <c r="A7" s="41" t="inlineStr">
        <is>
          <t>SpaceX IPO提前</t>
        </is>
      </c>
      <c r="B7" s="21" t="inlineStr">
        <is>
          <t>吸走全球流动性</t>
        </is>
      </c>
      <c r="C7" s="21" t="inlineStr">
        <is>
          <t>A股承压，流动性虹吸</t>
        </is>
      </c>
      <c r="D7" s="43" t="inlineStr">
        <is>
          <t>中</t>
        </is>
      </c>
      <c r="E7" s="27" t="inlineStr">
        <is>
          <t>中等</t>
        </is>
      </c>
      <c r="F7" s="21" t="inlineStr">
        <is>
          <t>现金≥50%，暂停加仓</t>
        </is>
      </c>
    </row>
    <row r="8" ht="36" customHeight="1">
      <c r="A8" s="40" t="inlineStr">
        <is>
          <t>OPEC+超预期增产</t>
        </is>
      </c>
      <c r="B8" s="24" t="inlineStr">
        <is>
          <t>日增产&gt;200万桶</t>
        </is>
      </c>
      <c r="C8" s="24" t="inlineStr">
        <is>
          <t>油价上涨受阻，原油逻辑打折</t>
        </is>
      </c>
      <c r="D8" s="37" t="inlineStr">
        <is>
          <t>低</t>
        </is>
      </c>
      <c r="E8" s="27" t="inlineStr">
        <is>
          <t>中等</t>
        </is>
      </c>
      <c r="F8" s="24" t="inlineStr">
        <is>
          <t>减仓原油至半仓，等待企稳</t>
        </is>
      </c>
    </row>
    <row r="9" ht="36" customHeight="1">
      <c r="A9" s="41" t="inlineStr">
        <is>
          <t>明斯基时刻提前</t>
        </is>
      </c>
      <c r="B9" s="21" t="inlineStr">
        <is>
          <t>系统性信用收缩</t>
        </is>
      </c>
      <c r="C9" s="21" t="inlineStr">
        <is>
          <t>所有风险资产崩，现金为王</t>
        </is>
      </c>
      <c r="D9" s="43" t="inlineStr">
        <is>
          <t>中</t>
        </is>
      </c>
      <c r="E9" s="32" t="inlineStr">
        <is>
          <t>灾难</t>
        </is>
      </c>
      <c r="F9" s="21" t="inlineStr">
        <is>
          <t>清仓所有标的，100%现金+国债</t>
        </is>
      </c>
    </row>
    <row r="10" ht="36" customHeight="1">
      <c r="A10" s="40" t="inlineStr">
        <is>
          <t>中美达成能源协议</t>
        </is>
      </c>
      <c r="B10" s="24" t="inlineStr">
        <is>
          <t>大规模能源合作</t>
        </is>
      </c>
      <c r="C10" s="24" t="inlineStr">
        <is>
          <t>油价人为压低，能源安全逻辑减弱</t>
        </is>
      </c>
      <c r="D10" s="37" t="inlineStr">
        <is>
          <t>低</t>
        </is>
      </c>
      <c r="E10" s="27" t="inlineStr">
        <is>
          <t>中等</t>
        </is>
      </c>
      <c r="F10" s="24" t="inlineStr">
        <is>
          <t>减仓能源，增配金属+黄金</t>
        </is>
      </c>
    </row>
    <row r="11" ht="36" customHeight="1">
      <c r="A11" s="41" t="inlineStr">
        <is>
          <t>中国央行停止购金</t>
        </is>
      </c>
      <c r="B11" s="21" t="inlineStr">
        <is>
          <t>连续3月无增持</t>
        </is>
      </c>
      <c r="C11" s="21" t="inlineStr">
        <is>
          <t>黄金信仰动摇，金价大幅回调</t>
        </is>
      </c>
      <c r="D11" s="35" t="inlineStr">
        <is>
          <t>低</t>
        </is>
      </c>
      <c r="E11" s="29" t="inlineStr">
        <is>
          <t>重大</t>
        </is>
      </c>
      <c r="F11" s="21" t="inlineStr">
        <is>
          <t>黄金仓位减半，等待信号恢复</t>
        </is>
      </c>
    </row>
    <row r="12" ht="36" customHeight="1">
      <c r="A12" s="40" t="inlineStr">
        <is>
          <t>全球衰退确认</t>
        </is>
      </c>
      <c r="B12" s="24" t="inlineStr">
        <is>
          <t>PMI连续&lt;45</t>
        </is>
      </c>
      <c r="C12" s="24" t="inlineStr">
        <is>
          <t>工业金属需求崩塌，铜铝大跌</t>
        </is>
      </c>
      <c r="D12" s="42" t="inlineStr">
        <is>
          <t>中</t>
        </is>
      </c>
      <c r="E12" s="29" t="inlineStr">
        <is>
          <t>重大</t>
        </is>
      </c>
      <c r="F12" s="24" t="inlineStr">
        <is>
          <t>清仓工业金属，仅留黄金+现金</t>
        </is>
      </c>
    </row>
    <row r="13" ht="36" customHeight="1">
      <c r="A13" s="41" t="inlineStr">
        <is>
          <t>数字货币崩盘</t>
        </is>
      </c>
      <c r="B13" s="21" t="inlineStr">
        <is>
          <t>BTC&lt;40000</t>
        </is>
      </c>
      <c r="C13" s="21" t="inlineStr">
        <is>
          <t>风险情绪传染，A股跟跌</t>
        </is>
      </c>
      <c r="D13" s="43" t="inlineStr">
        <is>
          <t>中</t>
        </is>
      </c>
      <c r="E13" s="27" t="inlineStr">
        <is>
          <t>中等</t>
        </is>
      </c>
      <c r="F13" s="21" t="inlineStr">
        <is>
          <t>减仓10%，保留核心仓位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acc15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6" customWidth="1" min="8" max="8"/>
  </cols>
  <sheetData>
    <row r="1" ht="32" customHeight="1">
      <c r="A1" s="34" t="inlineStr">
        <is>
          <t>极简时间线总表 — 五节点仓位演进</t>
        </is>
      </c>
    </row>
    <row r="3" ht="28" customHeight="1">
      <c r="A3" s="19" t="inlineStr">
        <is>
          <t>节点</t>
        </is>
      </c>
      <c r="B3" s="19" t="inlineStr">
        <is>
          <t>原油仓位</t>
        </is>
      </c>
      <c r="C3" s="19" t="inlineStr">
        <is>
          <t>金属仓位</t>
        </is>
      </c>
      <c r="D3" s="19" t="inlineStr">
        <is>
          <t>黄金仓位</t>
        </is>
      </c>
      <c r="E3" s="19" t="inlineStr">
        <is>
          <t>总仓位</t>
        </is>
      </c>
      <c r="F3" s="19" t="inlineStr">
        <is>
          <t>现金</t>
        </is>
      </c>
      <c r="G3" s="19" t="inlineStr">
        <is>
          <t>核心动作</t>
        </is>
      </c>
      <c r="H3" s="19" t="inlineStr">
        <is>
          <t>止损触发</t>
        </is>
      </c>
    </row>
    <row r="4" ht="32" customHeight="1">
      <c r="A4" s="44" t="inlineStr">
        <is>
          <t>7月</t>
        </is>
      </c>
      <c r="B4" s="45" t="inlineStr">
        <is>
          <t>16%</t>
        </is>
      </c>
      <c r="C4" s="45" t="inlineStr">
        <is>
          <t>10%</t>
        </is>
      </c>
      <c r="D4" s="45" t="inlineStr">
        <is>
          <t>10%</t>
        </is>
      </c>
      <c r="E4" s="45" t="inlineStr">
        <is>
          <t>36%</t>
        </is>
      </c>
      <c r="F4" s="45" t="inlineStr">
        <is>
          <t>64%</t>
        </is>
      </c>
      <c r="G4" s="45" t="inlineStr">
        <is>
          <t>启动建仓</t>
        </is>
      </c>
      <c r="H4" s="45" t="inlineStr">
        <is>
          <t>Brent &lt; 85</t>
        </is>
      </c>
    </row>
    <row r="5" ht="32" customHeight="1">
      <c r="A5" s="46" t="inlineStr">
        <is>
          <t>8月</t>
        </is>
      </c>
      <c r="B5" s="47" t="inlineStr">
        <is>
          <t>25%</t>
        </is>
      </c>
      <c r="C5" s="47" t="inlineStr">
        <is>
          <t>16%</t>
        </is>
      </c>
      <c r="D5" s="47" t="inlineStr">
        <is>
          <t>14%</t>
        </is>
      </c>
      <c r="E5" s="47" t="inlineStr">
        <is>
          <t>55%</t>
        </is>
      </c>
      <c r="F5" s="47" t="inlineStr">
        <is>
          <t>45%</t>
        </is>
      </c>
      <c r="G5" s="47" t="inlineStr">
        <is>
          <t>缓慢加仓</t>
        </is>
      </c>
      <c r="H5" s="47" t="inlineStr">
        <is>
          <t>Brent &lt; 90</t>
        </is>
      </c>
    </row>
    <row r="6" ht="32" customHeight="1">
      <c r="A6" s="48" t="inlineStr">
        <is>
          <t>9月</t>
        </is>
      </c>
      <c r="B6" s="45" t="inlineStr">
        <is>
          <t>38%</t>
        </is>
      </c>
      <c r="C6" s="45" t="inlineStr">
        <is>
          <t>20%</t>
        </is>
      </c>
      <c r="D6" s="45" t="inlineStr">
        <is>
          <t>12%</t>
        </is>
      </c>
      <c r="E6" s="45" t="inlineStr">
        <is>
          <t>70%</t>
        </is>
      </c>
      <c r="F6" s="45" t="inlineStr">
        <is>
          <t>30%</t>
        </is>
      </c>
      <c r="G6" s="45" t="inlineStr">
        <is>
          <t>冲刺满仓</t>
        </is>
      </c>
      <c r="H6" s="45" t="inlineStr">
        <is>
          <t>Brent &lt; 100</t>
        </is>
      </c>
    </row>
    <row r="7" ht="32" customHeight="1">
      <c r="A7" s="49" t="inlineStr">
        <is>
          <t>10-11月</t>
        </is>
      </c>
      <c r="B7" s="50" t="inlineStr">
        <is>
          <t>38%</t>
        </is>
      </c>
      <c r="C7" s="50" t="inlineStr">
        <is>
          <t>20%</t>
        </is>
      </c>
      <c r="D7" s="50" t="inlineStr">
        <is>
          <t>17%</t>
        </is>
      </c>
      <c r="E7" s="50" t="inlineStr">
        <is>
          <t>75%</t>
        </is>
      </c>
      <c r="F7" s="50" t="inlineStr">
        <is>
          <t>25%</t>
        </is>
      </c>
      <c r="G7" s="50" t="inlineStr">
        <is>
          <t>回调补仓(最佳窗口)</t>
        </is>
      </c>
      <c r="H7" s="50" t="inlineStr">
        <is>
          <t>Brent &lt; 80</t>
        </is>
      </c>
    </row>
    <row r="8" ht="32" customHeight="1">
      <c r="A8" s="51" t="inlineStr">
        <is>
          <t>12月</t>
        </is>
      </c>
      <c r="B8" s="45" t="inlineStr">
        <is>
          <t>38%</t>
        </is>
      </c>
      <c r="C8" s="45" t="inlineStr">
        <is>
          <t>26%</t>
        </is>
      </c>
      <c r="D8" s="45" t="inlineStr">
        <is>
          <t>22%</t>
        </is>
      </c>
      <c r="E8" s="45" t="inlineStr">
        <is>
          <t>86%</t>
        </is>
      </c>
      <c r="F8" s="45" t="inlineStr">
        <is>
          <t>14%</t>
        </is>
      </c>
      <c r="G8" s="45" t="inlineStr">
        <is>
          <t>放水主升</t>
        </is>
      </c>
      <c r="H8" s="45" t="inlineStr">
        <is>
          <t>Brent &lt; 100</t>
        </is>
      </c>
    </row>
    <row r="10">
      <c r="A10" s="52" t="inlineStr">
        <is>
          <t>仓位校验(应=100%)</t>
        </is>
      </c>
      <c r="D10" s="53">
        <f>SUM(D4:D8)</f>
        <v/>
      </c>
      <c r="E10" s="53">
        <f>SUM(E4:E8)</f>
        <v/>
      </c>
      <c r="F10" s="53">
        <f>SUM(F4:F8)</f>
        <v/>
      </c>
      <c r="G10" s="53">
        <f>SUM(G4:G8)</f>
        <v/>
      </c>
      <c r="H10" s="53">
        <f>SUM(H4:H8)</f>
        <v/>
      </c>
    </row>
  </sheetData>
  <mergeCells count="2">
    <mergeCell ref="A10:B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2026-08-02T06:27:17Z</dcterms:created>
  <dcterms:modified xmlns:dcterms="http://purl.org/dc/terms/" xmlns:xsi="http://www.w3.org/2001/XMLSchema-instance" xsi:type="dcterms:W3CDTF">2026-08-02T06:38:31Z</dcterms:modified>
</cp:coreProperties>
</file>